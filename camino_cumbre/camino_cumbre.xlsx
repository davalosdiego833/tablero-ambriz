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/Desktop/ ANTIGRAVITY/camino_cumbre/"/>
    </mc:Choice>
  </mc:AlternateContent>
  <xr:revisionPtr revIDLastSave="0" documentId="13_ncr:1_{43183CD1-A165-4F49-A9F2-7D6D10CDCCEA}" xr6:coauthVersionLast="47" xr6:coauthVersionMax="47" xr10:uidLastSave="{00000000-0000-0000-0000-000000000000}"/>
  <bookViews>
    <workbookView xWindow="0" yWindow="0" windowWidth="28800" windowHeight="18000" xr2:uid="{1DAE931C-7393-E748-9117-F29D245519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</calcChain>
</file>

<file path=xl/sharedStrings.xml><?xml version="1.0" encoding="utf-8"?>
<sst xmlns="http://schemas.openxmlformats.org/spreadsheetml/2006/main" count="31" uniqueCount="31">
  <si>
    <t>Asesor</t>
  </si>
  <si>
    <t>Clave</t>
  </si>
  <si>
    <t>Fecha_Corte</t>
  </si>
  <si>
    <t>JOSE RENE DE ALBA MORALES</t>
  </si>
  <si>
    <t>ANAIS LUA MORENO</t>
  </si>
  <si>
    <t>BRUNO BRAULIO MACIAS ALVAREZ</t>
  </si>
  <si>
    <t>JORGE ANTONIO LUNA LARA</t>
  </si>
  <si>
    <t>VELIA PATRICIA BERNAL RAMOS</t>
  </si>
  <si>
    <t>ADRIANA ALEJANDRA JOYA MARTINEZ</t>
  </si>
  <si>
    <t>MIRIAM ROCIO LOMELI CHAVEZ</t>
  </si>
  <si>
    <t>ROCIO YANETH OCHOA IBARRA</t>
  </si>
  <si>
    <t>LUIS GUILLERMO OLGUIN FERNANDEZ</t>
  </si>
  <si>
    <t>LINDA TANIA MIROSLAVA ENRIQUEZ PRECIADO</t>
  </si>
  <si>
    <t>HANA SOFIA LOPEZ QUIÐONEZ</t>
  </si>
  <si>
    <t>MARIA JOSE GUZMAN ZAMORA</t>
  </si>
  <si>
    <t>CLAUDIA VALERIA HERNANDEZ MACIAS</t>
  </si>
  <si>
    <t>ISAI ANTONIO ROJAS MARTINEZ</t>
  </si>
  <si>
    <t>ROCIO IVON RUIZ GARCIA</t>
  </si>
  <si>
    <t>ANA VERONICA GONZALEZ GAYTAN</t>
  </si>
  <si>
    <t>LUVIA PATRICIA FIGUEROA CASTRO</t>
  </si>
  <si>
    <t>Mes_Asesor</t>
  </si>
  <si>
    <t>Polizas_Totales</t>
  </si>
  <si>
    <t>Trimestre</t>
  </si>
  <si>
    <t>Fecha_Conexion</t>
  </si>
  <si>
    <t>Estatus_meta</t>
  </si>
  <si>
    <t>Mes_1_Prod</t>
  </si>
  <si>
    <t>Mes_2_Prod</t>
  </si>
  <si>
    <t>Mes_3_Prod</t>
  </si>
  <si>
    <t>ANA LAURA CONTRERAS IÐIGUEZ</t>
  </si>
  <si>
    <t>EVELYN CAROLINA VENEGAS IÐIGUEZ</t>
  </si>
  <si>
    <t xml:space="preserve">LAURA DOLORES MONTAÐO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</si>
</sst>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sz val="10"/>
      <color indexed="8"/>
      <name val="Helvetica Neue"/>
      <family val="2"/>
    </font>
    <font>
      <sz val="14"/>
      <color rgb="FF000000"/>
      <name val="-webkit-standard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Protection="0">
      <alignment vertical="top" wrapText="1"/>
    </xf>
  </cellStyleXfs>
  <cellXfs count="15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14" fontId="3" fillId="0" borderId="4" xfId="0" applyNumberFormat="1" applyFont="1" applyBorder="1" applyAlignment="1" applyProtection="1">
      <alignment horizontal="center"/>
      <protection locked="0"/>
    </xf>
    <xf numFmtId="1" fontId="3" fillId="0" borderId="4" xfId="0" applyNumberFormat="1" applyFont="1" applyBorder="1" applyAlignment="1" applyProtection="1">
      <alignment horizontal="center"/>
      <protection locked="0"/>
    </xf>
    <xf numFmtId="2" fontId="3" fillId="0" borderId="4" xfId="1" applyNumberFormat="1" applyFont="1" applyFill="1" applyBorder="1" applyAlignment="1" applyProtection="1">
      <alignment horizontal="center"/>
      <protection locked="0"/>
    </xf>
    <xf numFmtId="0" fontId="4" fillId="2" borderId="3" xfId="0" applyFont="1" applyFill="1" applyBorder="1"/>
    <xf numFmtId="14" fontId="5" fillId="0" borderId="0" xfId="2" applyNumberFormat="1" applyAlignment="1">
      <alignment horizontal="center"/>
    </xf>
    <xf numFmtId="0" fontId="6" fillId="0" borderId="0" xfId="0" applyFont="1"/>
    <xf numFmtId="164" fontId="5" fillId="0" borderId="0" xfId="2" applyNumberFormat="1" applyAlignment="1">
      <alignment horizontal="center"/>
    </xf>
    <xf numFmtId="0" fontId="5" fillId="0" borderId="0" xfId="2" applyAlignment="1"/>
    <xf numFmtId="0" fontId="3" fillId="0" borderId="4" xfId="0" applyFont="1" applyBorder="1" applyProtection="1">
      <protection locked="0"/>
    </xf>
  </cellXfs>
  <cellStyles count="3">
    <cellStyle name="Millares" xfId="1" builtinId="3"/>
    <cellStyle name="Normal" xfId="0" builtinId="0"/>
    <cellStyle name="Normal 2" xfId="2" xr:uid="{0315DA01-7635-3B4E-915F-54A381A18AE8}"/>
  </cellStyles>
  <dxfs count="25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9" tint="0.79998168889431442"/>
        </patternFill>
      </fill>
      <border>
        <left style="hair">
          <color rgb="FF002060"/>
        </left>
        <right style="hair">
          <color rgb="FF002060"/>
        </right>
        <top style="hair">
          <color rgb="FF002060"/>
        </top>
        <bottom style="hair">
          <color rgb="FF002060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#,##0.0"/>
      <alignment horizontal="center" vertical="bottom" textRotation="0" wrapText="0" indent="0" justifyLastLine="0" shrinkToFit="0" readingOrder="0"/>
    </dxf>
    <dxf>
      <numFmt numFmtId="164" formatCode="#,##0.0"/>
      <alignment horizontal="center" vertical="bottom" textRotation="0" wrapText="0" indent="0" justifyLastLine="0" shrinkToFit="0" readingOrder="0"/>
    </dxf>
    <dxf>
      <numFmt numFmtId="164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dd/mm/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406AE1-44E1-3545-A7F7-9AB7AD7F1C0E}" name="Tabla1354" displayName="Tabla1354" ref="A1:K21" totalsRowShown="0" headerRowDxfId="24" dataDxfId="22" headerRowBorderDxfId="23" tableBorderDxfId="21" totalsRowBorderDxfId="20">
  <autoFilter ref="A1:K21" xr:uid="{3F406AE1-44E1-3545-A7F7-9AB7AD7F1C0E}">
    <filterColumn colId="0">
      <filters>
        <filter val="LAURA DOLORES MONTAÑO MONTAÑO"/>
      </filters>
    </filterColumn>
  </autoFilter>
  <sortState xmlns:xlrd2="http://schemas.microsoft.com/office/spreadsheetml/2017/richdata2" ref="A2:K39">
    <sortCondition descending="1" ref="G1:G39"/>
  </sortState>
  <tableColumns count="11">
    <tableColumn id="1" xr3:uid="{F64D903D-9F21-1C46-8ECA-63392820498E}" name="Asesor" dataDxfId="19"/>
    <tableColumn id="8" xr3:uid="{E38F8F07-E36B-CC43-B077-DF828B75CE31}" name="Clave" dataDxfId="18"/>
    <tableColumn id="7" xr3:uid="{12677A66-E491-A149-827F-A27FD283E2FE}" name="Fecha_Corte" dataDxfId="17"/>
    <tableColumn id="15" xr3:uid="{7B920709-BCF4-6E42-BB63-55BF01110007}" name="Fecha_Conexion" dataDxfId="16" dataCellStyle="Normal 2"/>
    <tableColumn id="9" xr3:uid="{EB5FBA11-D0FE-794C-8F1D-3C3492AB053A}" name="Mes_Asesor" dataDxfId="15"/>
    <tableColumn id="14" xr3:uid="{17B4B670-463A-8F40-996C-94559C2C6156}" name="Trimestre" dataDxfId="14"/>
    <tableColumn id="6" xr3:uid="{A4DA8ED3-2571-AD46-AEE7-65DE2102D661}" name="Polizas_Totales" dataDxfId="13" dataCellStyle="Millares"/>
    <tableColumn id="16" xr3:uid="{2103F9BE-FF32-BF42-B491-685E796B7946}" name="Mes_1_Prod" dataDxfId="12" dataCellStyle="Normal 2"/>
    <tableColumn id="18" xr3:uid="{E43E2E5F-4B97-DC43-90D1-8A6AB3D848E9}" name="Mes_2_Prod" dataDxfId="11" dataCellStyle="Normal 2"/>
    <tableColumn id="17" xr3:uid="{3B87E0D8-ACE3-034E-9A51-908E049FE5F8}" name="Mes_3_Prod" dataDxfId="10" dataCellStyle="Normal 2"/>
    <tableColumn id="3" xr3:uid="{9128F4F2-9D5B-114E-AFF8-D23C1B15D538}" name="Estatus_meta" dataDxfId="9" dataCellStyle="Millares">
      <calculatedColumnFormula>IF(G2&gt;=(E2*4),"EN META","POR DEBAJO")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58E5-AEE6-2C47-8476-20D6DBF9B331}">
  <dimension ref="A1:K21"/>
  <sheetViews>
    <sheetView tabSelected="1" workbookViewId="0">
      <selection activeCell="A20" sqref="A20"/>
    </sheetView>
  </sheetViews>
  <sheetFormatPr baseColWidth="10" defaultRowHeight="16"/>
  <cols>
    <col min="1" max="1" width="41.5" bestFit="1" customWidth="1"/>
    <col min="2" max="2" width="8" bestFit="1" customWidth="1"/>
    <col min="3" max="3" width="13.6640625" bestFit="1" customWidth="1"/>
    <col min="4" max="4" width="16.83203125" bestFit="1" customWidth="1"/>
    <col min="5" max="5" width="13.1640625" bestFit="1" customWidth="1"/>
    <col min="7" max="7" width="18.33203125" bestFit="1" customWidth="1"/>
    <col min="8" max="10" width="18.33203125" customWidth="1"/>
    <col min="11" max="11" width="16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23</v>
      </c>
      <c r="E1" s="2" t="s">
        <v>20</v>
      </c>
      <c r="F1" s="2" t="s">
        <v>22</v>
      </c>
      <c r="G1" s="3" t="s">
        <v>21</v>
      </c>
      <c r="H1" s="3" t="s">
        <v>25</v>
      </c>
      <c r="I1" s="3" t="s">
        <v>26</v>
      </c>
      <c r="J1" s="3" t="s">
        <v>27</v>
      </c>
      <c r="K1" s="2" t="s">
        <v>24</v>
      </c>
    </row>
    <row r="2" spans="1:11" ht="18" hidden="1">
      <c r="A2" s="4" t="s">
        <v>4</v>
      </c>
      <c r="B2" s="5">
        <v>110453</v>
      </c>
      <c r="C2" s="6">
        <v>46017</v>
      </c>
      <c r="D2" s="10">
        <v>45600</v>
      </c>
      <c r="E2" s="7">
        <v>14</v>
      </c>
      <c r="F2" s="7">
        <v>5</v>
      </c>
      <c r="G2" s="12">
        <v>43</v>
      </c>
      <c r="H2" s="13">
        <v>5.5</v>
      </c>
      <c r="I2" s="13">
        <v>1</v>
      </c>
      <c r="J2" s="13">
        <v>5.5</v>
      </c>
      <c r="K2" s="11" t="str">
        <f t="shared" ref="K2:K21" si="0">IF(G2&gt;=(E2*4),"EN META","POR DEBAJO")</f>
        <v>POR DEBAJO</v>
      </c>
    </row>
    <row r="3" spans="1:11" hidden="1">
      <c r="A3" s="4" t="s">
        <v>17</v>
      </c>
      <c r="B3" s="5">
        <v>108658</v>
      </c>
      <c r="C3" s="6">
        <f>C2</f>
        <v>46017</v>
      </c>
      <c r="D3" s="10">
        <v>45497</v>
      </c>
      <c r="E3" s="7">
        <v>18</v>
      </c>
      <c r="F3" s="7">
        <v>6</v>
      </c>
      <c r="G3" s="12">
        <v>27.5</v>
      </c>
      <c r="H3" s="13">
        <v>7</v>
      </c>
      <c r="I3" s="13">
        <v>4</v>
      </c>
      <c r="J3" s="13">
        <v>3</v>
      </c>
      <c r="K3" s="8" t="str">
        <f t="shared" si="0"/>
        <v>POR DEBAJO</v>
      </c>
    </row>
    <row r="4" spans="1:11" hidden="1">
      <c r="A4" s="9" t="s">
        <v>6</v>
      </c>
      <c r="B4" s="5">
        <v>111056</v>
      </c>
      <c r="C4" s="6">
        <f t="shared" ref="C4:C21" si="1">C3</f>
        <v>46017</v>
      </c>
      <c r="D4" s="10">
        <v>45639</v>
      </c>
      <c r="E4" s="7">
        <v>13</v>
      </c>
      <c r="F4" s="7">
        <v>5</v>
      </c>
      <c r="G4" s="12">
        <v>22</v>
      </c>
      <c r="H4" s="13">
        <v>8</v>
      </c>
      <c r="I4" s="13">
        <v>0.5</v>
      </c>
      <c r="J4" s="13">
        <v>3.5</v>
      </c>
      <c r="K4" s="8" t="str">
        <f t="shared" si="0"/>
        <v>POR DEBAJO</v>
      </c>
    </row>
    <row r="5" spans="1:11" hidden="1">
      <c r="A5" s="4" t="s">
        <v>3</v>
      </c>
      <c r="B5" s="5">
        <v>110575</v>
      </c>
      <c r="C5" s="6">
        <f t="shared" si="1"/>
        <v>46017</v>
      </c>
      <c r="D5" s="10">
        <v>45583</v>
      </c>
      <c r="E5" s="7">
        <v>15</v>
      </c>
      <c r="F5" s="7">
        <v>5</v>
      </c>
      <c r="G5" s="12">
        <v>21.5</v>
      </c>
      <c r="H5" s="13">
        <v>7</v>
      </c>
      <c r="I5" s="13">
        <v>0.5</v>
      </c>
      <c r="J5" s="13">
        <v>0</v>
      </c>
      <c r="K5" s="8" t="str">
        <f t="shared" si="0"/>
        <v>POR DEBAJO</v>
      </c>
    </row>
    <row r="6" spans="1:11" hidden="1">
      <c r="A6" s="14" t="s">
        <v>29</v>
      </c>
      <c r="B6" s="5">
        <v>109998</v>
      </c>
      <c r="C6" s="6">
        <f t="shared" si="1"/>
        <v>46017</v>
      </c>
      <c r="D6" s="10">
        <v>45596</v>
      </c>
      <c r="E6" s="7">
        <v>15</v>
      </c>
      <c r="F6" s="7">
        <v>5</v>
      </c>
      <c r="G6" s="12">
        <v>19.5</v>
      </c>
      <c r="H6" s="13">
        <v>5</v>
      </c>
      <c r="I6" s="13">
        <v>2</v>
      </c>
      <c r="J6" s="13">
        <v>2</v>
      </c>
      <c r="K6" s="8" t="str">
        <f t="shared" si="0"/>
        <v>POR DEBAJO</v>
      </c>
    </row>
    <row r="7" spans="1:11" hidden="1">
      <c r="A7" s="4" t="s">
        <v>10</v>
      </c>
      <c r="B7" s="5">
        <v>110105</v>
      </c>
      <c r="C7" s="6">
        <f t="shared" si="1"/>
        <v>46017</v>
      </c>
      <c r="D7" s="10">
        <v>45560</v>
      </c>
      <c r="E7" s="7">
        <v>16</v>
      </c>
      <c r="F7" s="7">
        <v>6</v>
      </c>
      <c r="G7" s="12">
        <v>19</v>
      </c>
      <c r="H7" s="13">
        <v>6</v>
      </c>
      <c r="I7" s="13">
        <v>2.5</v>
      </c>
      <c r="J7" s="13">
        <v>3</v>
      </c>
      <c r="K7" s="8" t="str">
        <f t="shared" si="0"/>
        <v>POR DEBAJO</v>
      </c>
    </row>
    <row r="8" spans="1:11" hidden="1">
      <c r="A8" s="4" t="s">
        <v>9</v>
      </c>
      <c r="B8" s="5">
        <v>109819</v>
      </c>
      <c r="C8" s="6">
        <f t="shared" si="1"/>
        <v>46017</v>
      </c>
      <c r="D8" s="10">
        <v>45562</v>
      </c>
      <c r="E8" s="7">
        <v>16</v>
      </c>
      <c r="F8" s="7">
        <v>6</v>
      </c>
      <c r="G8" s="12">
        <v>18.5</v>
      </c>
      <c r="H8" s="13">
        <v>7.5</v>
      </c>
      <c r="I8" s="13">
        <v>2</v>
      </c>
      <c r="J8" s="13">
        <v>0</v>
      </c>
      <c r="K8" s="8" t="str">
        <f t="shared" si="0"/>
        <v>POR DEBAJO</v>
      </c>
    </row>
    <row r="9" spans="1:11" hidden="1">
      <c r="A9" s="9" t="s">
        <v>8</v>
      </c>
      <c r="B9" s="5">
        <v>114100</v>
      </c>
      <c r="C9" s="6">
        <f t="shared" si="1"/>
        <v>46017</v>
      </c>
      <c r="D9" s="10">
        <v>45863</v>
      </c>
      <c r="E9" s="7">
        <v>6</v>
      </c>
      <c r="F9" s="7">
        <v>2</v>
      </c>
      <c r="G9" s="12">
        <v>13.5</v>
      </c>
      <c r="H9" s="13">
        <v>5.5</v>
      </c>
      <c r="I9" s="13">
        <v>1</v>
      </c>
      <c r="J9" s="13">
        <v>2</v>
      </c>
      <c r="K9" s="8" t="str">
        <f t="shared" si="0"/>
        <v>POR DEBAJO</v>
      </c>
    </row>
    <row r="10" spans="1:11" hidden="1">
      <c r="A10" s="4" t="s">
        <v>16</v>
      </c>
      <c r="B10" s="5">
        <v>109007</v>
      </c>
      <c r="C10" s="6">
        <f t="shared" si="1"/>
        <v>46017</v>
      </c>
      <c r="D10" s="10">
        <v>45525</v>
      </c>
      <c r="E10" s="7">
        <v>17</v>
      </c>
      <c r="F10" s="7">
        <v>6</v>
      </c>
      <c r="G10" s="12">
        <v>12.5</v>
      </c>
      <c r="H10" s="13">
        <v>4.5</v>
      </c>
      <c r="I10" s="13">
        <v>2</v>
      </c>
      <c r="J10" s="13">
        <v>0</v>
      </c>
      <c r="K10" s="8" t="str">
        <f t="shared" si="0"/>
        <v>POR DEBAJO</v>
      </c>
    </row>
    <row r="11" spans="1:11" hidden="1">
      <c r="A11" s="4" t="s">
        <v>7</v>
      </c>
      <c r="B11" s="5">
        <v>115047</v>
      </c>
      <c r="C11" s="6">
        <f t="shared" si="1"/>
        <v>46017</v>
      </c>
      <c r="D11" s="10">
        <v>45944</v>
      </c>
      <c r="E11" s="7">
        <v>3</v>
      </c>
      <c r="F11" s="7">
        <v>1</v>
      </c>
      <c r="G11" s="12">
        <v>12</v>
      </c>
      <c r="H11" s="13">
        <v>8.5</v>
      </c>
      <c r="I11" s="13">
        <v>2</v>
      </c>
      <c r="J11" s="13">
        <v>1.5</v>
      </c>
      <c r="K11" s="8" t="str">
        <f t="shared" si="0"/>
        <v>EN META</v>
      </c>
    </row>
    <row r="12" spans="1:11" hidden="1">
      <c r="A12" s="4" t="s">
        <v>15</v>
      </c>
      <c r="B12" s="5">
        <v>111960</v>
      </c>
      <c r="C12" s="6">
        <f t="shared" si="1"/>
        <v>46017</v>
      </c>
      <c r="D12" s="10">
        <v>45707</v>
      </c>
      <c r="E12" s="7">
        <v>11</v>
      </c>
      <c r="F12" s="7">
        <v>4</v>
      </c>
      <c r="G12" s="12">
        <v>11.5</v>
      </c>
      <c r="H12" s="13">
        <v>6</v>
      </c>
      <c r="I12" s="13">
        <v>3</v>
      </c>
      <c r="J12" s="13">
        <v>0</v>
      </c>
      <c r="K12" s="8" t="str">
        <f t="shared" si="0"/>
        <v>POR DEBAJO</v>
      </c>
    </row>
    <row r="13" spans="1:11" hidden="1">
      <c r="A13" s="4" t="s">
        <v>28</v>
      </c>
      <c r="B13" s="5">
        <v>113450</v>
      </c>
      <c r="C13" s="6">
        <f t="shared" si="1"/>
        <v>46017</v>
      </c>
      <c r="D13" s="10">
        <v>45852</v>
      </c>
      <c r="E13" s="7">
        <v>6</v>
      </c>
      <c r="F13" s="7">
        <v>2</v>
      </c>
      <c r="G13" s="12">
        <v>10.5</v>
      </c>
      <c r="H13" s="13">
        <v>7</v>
      </c>
      <c r="I13" s="13">
        <v>2</v>
      </c>
      <c r="J13" s="13">
        <v>1</v>
      </c>
      <c r="K13" s="8" t="str">
        <f t="shared" si="0"/>
        <v>POR DEBAJO</v>
      </c>
    </row>
    <row r="14" spans="1:11" hidden="1">
      <c r="A14" s="4" t="s">
        <v>5</v>
      </c>
      <c r="B14" s="5">
        <v>113076</v>
      </c>
      <c r="C14" s="6">
        <f t="shared" si="1"/>
        <v>46017</v>
      </c>
      <c r="D14" s="10">
        <v>45806</v>
      </c>
      <c r="E14" s="7">
        <v>8</v>
      </c>
      <c r="F14" s="7">
        <v>3</v>
      </c>
      <c r="G14" s="12">
        <v>10.5</v>
      </c>
      <c r="H14" s="13">
        <v>5.5</v>
      </c>
      <c r="I14" s="13">
        <v>2</v>
      </c>
      <c r="J14" s="13">
        <v>1.5</v>
      </c>
      <c r="K14" s="8" t="str">
        <f t="shared" si="0"/>
        <v>POR DEBAJO</v>
      </c>
    </row>
    <row r="15" spans="1:11" hidden="1">
      <c r="A15" s="4" t="s">
        <v>18</v>
      </c>
      <c r="B15" s="5">
        <v>115404</v>
      </c>
      <c r="C15" s="6">
        <f t="shared" si="1"/>
        <v>46017</v>
      </c>
      <c r="D15" s="10">
        <v>45986</v>
      </c>
      <c r="E15" s="7">
        <v>2</v>
      </c>
      <c r="F15" s="7">
        <v>1</v>
      </c>
      <c r="G15" s="12">
        <v>9</v>
      </c>
      <c r="H15" s="13">
        <v>8</v>
      </c>
      <c r="I15" s="13">
        <v>1</v>
      </c>
      <c r="J15" s="13">
        <v>0</v>
      </c>
      <c r="K15" s="8" t="str">
        <f t="shared" si="0"/>
        <v>EN META</v>
      </c>
    </row>
    <row r="16" spans="1:11" hidden="1">
      <c r="A16" s="4" t="s">
        <v>11</v>
      </c>
      <c r="B16" s="5">
        <v>112083</v>
      </c>
      <c r="C16" s="6">
        <f t="shared" si="1"/>
        <v>46017</v>
      </c>
      <c r="D16" s="10">
        <v>45736</v>
      </c>
      <c r="E16" s="7">
        <v>10</v>
      </c>
      <c r="F16" s="7">
        <v>4</v>
      </c>
      <c r="G16" s="12">
        <v>9</v>
      </c>
      <c r="H16" s="13">
        <v>5.5</v>
      </c>
      <c r="I16" s="13">
        <v>0</v>
      </c>
      <c r="J16" s="13">
        <v>1.5</v>
      </c>
      <c r="K16" s="8" t="str">
        <f t="shared" si="0"/>
        <v>POR DEBAJO</v>
      </c>
    </row>
    <row r="17" spans="1:11" hidden="1">
      <c r="A17" s="4" t="s">
        <v>13</v>
      </c>
      <c r="B17" s="5">
        <v>114157</v>
      </c>
      <c r="C17" s="6">
        <f t="shared" si="1"/>
        <v>46017</v>
      </c>
      <c r="D17" s="10">
        <v>45904</v>
      </c>
      <c r="E17" s="7">
        <v>4</v>
      </c>
      <c r="F17" s="7">
        <v>2</v>
      </c>
      <c r="G17" s="12">
        <v>8</v>
      </c>
      <c r="H17" s="13">
        <v>6</v>
      </c>
      <c r="I17" s="13">
        <v>0</v>
      </c>
      <c r="J17" s="13">
        <v>1</v>
      </c>
      <c r="K17" s="8" t="str">
        <f t="shared" si="0"/>
        <v>POR DEBAJO</v>
      </c>
    </row>
    <row r="18" spans="1:11" hidden="1">
      <c r="A18" s="4" t="s">
        <v>14</v>
      </c>
      <c r="B18" s="5">
        <v>114431</v>
      </c>
      <c r="C18" s="6">
        <f t="shared" si="1"/>
        <v>46017</v>
      </c>
      <c r="D18" s="10">
        <v>45930</v>
      </c>
      <c r="E18" s="7">
        <v>4</v>
      </c>
      <c r="F18" s="7">
        <v>2</v>
      </c>
      <c r="G18" s="12">
        <v>6.5</v>
      </c>
      <c r="H18" s="13">
        <v>4.5</v>
      </c>
      <c r="I18" s="13">
        <v>2</v>
      </c>
      <c r="J18" s="13">
        <v>0</v>
      </c>
      <c r="K18" s="8" t="str">
        <f t="shared" si="0"/>
        <v>POR DEBAJO</v>
      </c>
    </row>
    <row r="19" spans="1:11" hidden="1">
      <c r="A19" s="4" t="s">
        <v>19</v>
      </c>
      <c r="B19" s="5">
        <v>116060</v>
      </c>
      <c r="C19" s="6">
        <f t="shared" si="1"/>
        <v>46017</v>
      </c>
      <c r="D19" s="10">
        <v>46010</v>
      </c>
      <c r="E19" s="7">
        <v>1</v>
      </c>
      <c r="F19" s="7">
        <v>1</v>
      </c>
      <c r="G19" s="12">
        <v>6</v>
      </c>
      <c r="H19" s="13">
        <v>6</v>
      </c>
      <c r="I19" s="13">
        <v>0</v>
      </c>
      <c r="J19" s="13">
        <v>0</v>
      </c>
      <c r="K19" s="8" t="str">
        <f t="shared" si="0"/>
        <v>EN META</v>
      </c>
    </row>
    <row r="20" spans="1:11">
      <c r="A20" s="4" t="s">
        <v>30</v>
      </c>
      <c r="B20" s="5">
        <v>112522</v>
      </c>
      <c r="C20" s="6">
        <f t="shared" si="1"/>
        <v>46017</v>
      </c>
      <c r="D20" s="10">
        <v>45776</v>
      </c>
      <c r="E20" s="7">
        <v>9</v>
      </c>
      <c r="F20" s="7">
        <v>3</v>
      </c>
      <c r="G20" s="12">
        <v>6</v>
      </c>
      <c r="H20" s="13">
        <v>4</v>
      </c>
      <c r="I20" s="13">
        <v>0</v>
      </c>
      <c r="J20" s="13">
        <v>2</v>
      </c>
      <c r="K20" s="8" t="str">
        <f t="shared" si="0"/>
        <v>POR DEBAJO</v>
      </c>
    </row>
    <row r="21" spans="1:11" hidden="1">
      <c r="A21" s="9" t="s">
        <v>12</v>
      </c>
      <c r="B21" s="5">
        <v>114664</v>
      </c>
      <c r="C21" s="6">
        <f t="shared" si="1"/>
        <v>46017</v>
      </c>
      <c r="D21" s="10">
        <v>45950</v>
      </c>
      <c r="E21" s="7">
        <v>3</v>
      </c>
      <c r="F21" s="7">
        <v>1</v>
      </c>
      <c r="G21" s="12">
        <v>4</v>
      </c>
      <c r="H21" s="13">
        <v>4</v>
      </c>
      <c r="I21" s="13">
        <v>0</v>
      </c>
      <c r="J21" s="13">
        <v>0</v>
      </c>
      <c r="K21" s="8" t="str">
        <f t="shared" si="0"/>
        <v>POR DEBAJO</v>
      </c>
    </row>
  </sheetData>
  <conditionalFormatting sqref="C2:C21 E2:F21">
    <cfRule type="expression" dxfId="8" priority="15" stopIfTrue="1">
      <formula>#REF!&lt;&gt;""</formula>
    </cfRule>
  </conditionalFormatting>
  <conditionalFormatting sqref="D2:D21">
    <cfRule type="expression" dxfId="7" priority="11" stopIfTrue="1">
      <formula>$B2&lt;&gt;""</formula>
    </cfRule>
  </conditionalFormatting>
  <conditionalFormatting sqref="G2:G21">
    <cfRule type="expression" dxfId="6" priority="10" stopIfTrue="1">
      <formula>$B2&lt;&gt;""</formula>
    </cfRule>
  </conditionalFormatting>
  <conditionalFormatting sqref="H2:H21">
    <cfRule type="expression" dxfId="5" priority="5" stopIfTrue="1">
      <formula>AND($B2&lt;&gt;"",$Z2&lt;1)</formula>
    </cfRule>
  </conditionalFormatting>
  <conditionalFormatting sqref="H2:J21">
    <cfRule type="expression" dxfId="4" priority="2" stopIfTrue="1">
      <formula>$B2&lt;&gt;""</formula>
    </cfRule>
  </conditionalFormatting>
  <conditionalFormatting sqref="I2:I21">
    <cfRule type="expression" dxfId="3" priority="4" stopIfTrue="1">
      <formula>AND($B2&lt;&gt;"",$AA2&lt;1)</formula>
    </cfRule>
  </conditionalFormatting>
  <conditionalFormatting sqref="J2:J21">
    <cfRule type="expression" priority="3" stopIfTrue="1">
      <formula>AND($B2&lt;&gt;"",$AB2&lt;1)</formula>
    </cfRule>
  </conditionalFormatting>
  <conditionalFormatting sqref="K3:K21">
    <cfRule type="expression" dxfId="2" priority="13" stopIfTrue="1">
      <formula>#REF!&lt;&gt;""</formula>
    </cfRule>
    <cfRule type="expression" dxfId="1" priority="14" stopIfTrue="1">
      <formula>#REF!&lt;&gt;""</formula>
    </cfRule>
  </conditionalFormatting>
  <conditionalFormatting sqref="A6">
    <cfRule type="expression" dxfId="0" priority="1" stopIfTrue="1">
      <formula>#REF!&lt;&gt;""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DAVALOS</dc:creator>
  <cp:lastModifiedBy>FERNANDO DAVALOS</cp:lastModifiedBy>
  <dcterms:created xsi:type="dcterms:W3CDTF">2026-01-02T15:06:02Z</dcterms:created>
  <dcterms:modified xsi:type="dcterms:W3CDTF">2026-01-02T23:29:21Z</dcterms:modified>
</cp:coreProperties>
</file>