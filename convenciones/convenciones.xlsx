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/Desktop/ ANTIGRAVITY/convenciones/"/>
    </mc:Choice>
  </mc:AlternateContent>
  <xr:revisionPtr revIDLastSave="0" documentId="13_ncr:1_{4CFEBC79-50FE-6D44-BCB0-B08A5F30AC04}" xr6:coauthVersionLast="47" xr6:coauthVersionMax="47" xr10:uidLastSave="{00000000-0000-0000-0000-000000000000}"/>
  <bookViews>
    <workbookView xWindow="4340" yWindow="500" windowWidth="24460" windowHeight="16140" xr2:uid="{E7F63129-DA72-1A4F-A9C5-6A9DFB66AE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D5" i="1" l="1"/>
  <c r="D6" i="1" l="1"/>
  <c r="D7" i="1" l="1"/>
  <c r="D8" i="1" l="1"/>
  <c r="D9" i="1" l="1"/>
  <c r="D10" i="1" l="1"/>
  <c r="D11" i="1" l="1"/>
  <c r="D12" i="1" l="1"/>
  <c r="D13" i="1" l="1"/>
  <c r="D14" i="1" l="1"/>
  <c r="D15" i="1" l="1"/>
  <c r="D16" i="1" l="1"/>
  <c r="D17" i="1" l="1"/>
  <c r="D18" i="1" l="1"/>
  <c r="D19" i="1" l="1"/>
  <c r="D20" i="1" l="1"/>
  <c r="D21" i="1" l="1"/>
  <c r="D22" i="1" l="1"/>
  <c r="D23" i="1" l="1"/>
  <c r="D24" i="1" l="1"/>
  <c r="D25" i="1" l="1"/>
  <c r="D26" i="1" l="1"/>
  <c r="D27" i="1" l="1"/>
  <c r="D28" i="1" l="1"/>
  <c r="D29" i="1" l="1"/>
  <c r="D30" i="1" l="1"/>
  <c r="D31" i="1" l="1"/>
  <c r="D32" i="1" l="1"/>
  <c r="D33" i="1" l="1"/>
  <c r="D34" i="1" l="1"/>
  <c r="D35" i="1" l="1"/>
  <c r="D36" i="1" l="1"/>
  <c r="D37" i="1" l="1"/>
  <c r="D38" i="1" l="1"/>
  <c r="D39" i="1" l="1"/>
  <c r="D40" i="1" l="1"/>
  <c r="D41" i="1" l="1"/>
  <c r="D42" i="1" l="1"/>
  <c r="D43" i="1" l="1"/>
  <c r="D44" i="1" l="1"/>
  <c r="D45" i="1" l="1"/>
  <c r="D46" i="1" l="1"/>
  <c r="D47" i="1" l="1"/>
  <c r="D48" i="1" l="1"/>
  <c r="D49" i="1" l="1"/>
</calcChain>
</file>

<file path=xl/sharedStrings.xml><?xml version="1.0" encoding="utf-8"?>
<sst xmlns="http://schemas.openxmlformats.org/spreadsheetml/2006/main" count="62" uniqueCount="61">
  <si>
    <t>Asesor</t>
  </si>
  <si>
    <t>Clave</t>
  </si>
  <si>
    <t>Fecha_Corte</t>
  </si>
  <si>
    <t>Mes_Actual</t>
  </si>
  <si>
    <t>MONICA ANDREA AMBRIZ GOMEZ</t>
  </si>
  <si>
    <t>RAFAEL ALBERTO SUAREZ BAQUEDANO</t>
  </si>
  <si>
    <t>ANAIS LUA MORENO</t>
  </si>
  <si>
    <t>ROGELIO TORRES ORTIZ</t>
  </si>
  <si>
    <t>LILIANA IVETTE CASTILLO SANCHEZ</t>
  </si>
  <si>
    <t>JORGE ALBERTO PRECIADO GONZALEZ</t>
  </si>
  <si>
    <t>MARIA ELIZABETH LLAMAS LOPEZ</t>
  </si>
  <si>
    <t>MARICELA ARREOLA LOPEZ</t>
  </si>
  <si>
    <t>JULIANA RIASCOS VALENCIA</t>
  </si>
  <si>
    <t>JORGE ANTONIO LUNA LARA</t>
  </si>
  <si>
    <t>JOSE RENE DE ALBA MORALES</t>
  </si>
  <si>
    <t>ADRIANA ALEJANDRA JOYA MARTINEZ</t>
  </si>
  <si>
    <t>LUIS GUILLERMO OLGUIN FERNANDEZ</t>
  </si>
  <si>
    <t>CLAUDIA VALERIA HERNANDEZ MACIAS</t>
  </si>
  <si>
    <t>VELIA PATRICIA BERNAL RAMOS</t>
  </si>
  <si>
    <t>MIRIAM ROCIO LOMELI CHAVEZ</t>
  </si>
  <si>
    <t>ROCIO YANETH OCHOA IBARRA</t>
  </si>
  <si>
    <t>ENRIQUE ADRIAN GUTIERREZ JIMENEZ</t>
  </si>
  <si>
    <t>MIREYA LIZETTE TORRES GARCIA</t>
  </si>
  <si>
    <t>BRUNO BRAULIO MACIAS ALVAREZ</t>
  </si>
  <si>
    <t>MARIA JOSE GUZMAN ZAMORA</t>
  </si>
  <si>
    <t>ROCIO IVON RUIZ GARCIA</t>
  </si>
  <si>
    <t>MARIA FERNANDA CARLOS VAZQUEZ</t>
  </si>
  <si>
    <t>ISAI ANTONIO ROJAS MARTINEZ</t>
  </si>
  <si>
    <t>HANA SOFIA LOPEZ QUIÐONEZ</t>
  </si>
  <si>
    <t>PAULINA RODRIGUEZ DE LA MORA</t>
  </si>
  <si>
    <t>JOSE ALBERTO CORONADO ROSAS</t>
  </si>
  <si>
    <t>LINDA TANIA MIROSLAVA ENRIQUEZ PRECIADO</t>
  </si>
  <si>
    <t>ANGELICA YADIRA ROMERO JAUREGUI</t>
  </si>
  <si>
    <t>JOCELYN URIBE VARGAS</t>
  </si>
  <si>
    <t>FERNANDO JAVIER DAVALOS FLORES</t>
  </si>
  <si>
    <t>JOSE EDUARDO EZQUERRO BARQUERA</t>
  </si>
  <si>
    <t>MARIA TERESA ASENCIO LOZANO</t>
  </si>
  <si>
    <t>MARIA FERNANDA RIOS BERNAL</t>
  </si>
  <si>
    <t>TIARE DE LA CRUZ DZIB CABRERA</t>
  </si>
  <si>
    <t>MARIO ALFONSO SARMIENTO OROZCO</t>
  </si>
  <si>
    <t>ALEJANDRA IVETTE PEDROZA MACIAS</t>
  </si>
  <si>
    <t>RDA</t>
  </si>
  <si>
    <t>Comisiones_Totales</t>
  </si>
  <si>
    <t>Polizas</t>
  </si>
  <si>
    <t>Lugar</t>
  </si>
  <si>
    <t>Lugar_480</t>
  </si>
  <si>
    <t>Lugar_228</t>
  </si>
  <si>
    <t>Lugar_108</t>
  </si>
  <si>
    <t>Lugar_28</t>
  </si>
  <si>
    <t>Diciembre</t>
  </si>
  <si>
    <t>Comision_Vida</t>
  </si>
  <si>
    <t>ANA LAURA CONTRERAS IÐIGUEZ</t>
  </si>
  <si>
    <t>DESIREE DE LA PEÐA OROZCO</t>
  </si>
  <si>
    <t>DARINKA UREÐA CASILLAS</t>
  </si>
  <si>
    <t>EVELYN CAROLINA VENEGAS IÐIGUEZ</t>
  </si>
  <si>
    <t>GABRIELA CASTAÐEDA SALAZAR</t>
  </si>
  <si>
    <t>KAREN MUÐOZ GARCIA</t>
  </si>
  <si>
    <t xml:space="preserve">LAURA DOLORES MONTAÐO </t>
  </si>
  <si>
    <t>ORLANDA JIMENA CERVANTES NUÐEZ</t>
  </si>
  <si>
    <t>PAULINA LIZBETH SOTO MUÐIZ</t>
  </si>
  <si>
    <t>SAMUEL NUÐO RIVERA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</si>
</sst>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sz val="10"/>
      <color indexed="8"/>
      <name val="Helvetica Neue"/>
      <family val="2"/>
    </font>
    <font>
      <sz val="8"/>
      <name val="Aptos Narrow"/>
      <family val="2"/>
      <scheme val="minor"/>
    </font>
    <font>
      <sz val="10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Protection="0">
      <alignment vertical="top" wrapText="1"/>
    </xf>
  </cellStyleXfs>
  <cellXfs count="20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0" fillId="2" borderId="4" xfId="0" applyFill="1" applyBorder="1"/>
    <xf numFmtId="0" fontId="0" fillId="2" borderId="5" xfId="0" applyFill="1" applyBorder="1"/>
    <xf numFmtId="14" fontId="3" fillId="0" borderId="5" xfId="0" applyNumberFormat="1" applyFont="1" applyBorder="1" applyAlignment="1" applyProtection="1">
      <alignment horizontal="center"/>
      <protection locked="0"/>
    </xf>
    <xf numFmtId="1" fontId="3" fillId="0" borderId="5" xfId="0" applyNumberFormat="1" applyFont="1" applyBorder="1" applyAlignment="1" applyProtection="1">
      <alignment horizontal="center"/>
      <protection locked="0"/>
    </xf>
    <xf numFmtId="0" fontId="3" fillId="0" borderId="5" xfId="1" applyNumberFormat="1" applyFont="1" applyFill="1" applyBorder="1" applyAlignment="1" applyProtection="1">
      <alignment horizontal="center"/>
      <protection locked="0"/>
    </xf>
    <xf numFmtId="0" fontId="3" fillId="0" borderId="5" xfId="2" applyNumberFormat="1" applyFont="1" applyFill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/>
    </xf>
    <xf numFmtId="0" fontId="4" fillId="2" borderId="4" xfId="0" applyFont="1" applyFill="1" applyBorder="1"/>
    <xf numFmtId="0" fontId="6" fillId="0" borderId="5" xfId="1" applyNumberFormat="1" applyFont="1" applyFill="1" applyBorder="1" applyAlignment="1" applyProtection="1">
      <alignment horizontal="center"/>
      <protection locked="0"/>
    </xf>
    <xf numFmtId="0" fontId="7" fillId="0" borderId="5" xfId="0" applyFont="1" applyBorder="1" applyAlignment="1">
      <alignment horizontal="center" vertical="center"/>
    </xf>
    <xf numFmtId="2" fontId="3" fillId="0" borderId="5" xfId="1" applyNumberFormat="1" applyFont="1" applyFill="1" applyBorder="1" applyAlignment="1" applyProtection="1">
      <alignment horizontal="center"/>
      <protection locked="0"/>
    </xf>
    <xf numFmtId="2" fontId="3" fillId="0" borderId="5" xfId="2" applyNumberFormat="1" applyFont="1" applyFill="1" applyBorder="1" applyAlignment="1" applyProtection="1">
      <alignment horizontal="center"/>
      <protection locked="0"/>
    </xf>
    <xf numFmtId="0" fontId="5" fillId="0" borderId="5" xfId="0" applyFont="1" applyBorder="1" applyAlignment="1">
      <alignment horizontal="center"/>
    </xf>
    <xf numFmtId="0" fontId="10" fillId="0" borderId="6" xfId="0" applyFont="1" applyBorder="1"/>
    <xf numFmtId="0" fontId="3" fillId="0" borderId="5" xfId="0" applyFont="1" applyBorder="1" applyProtection="1">
      <protection locked="0"/>
    </xf>
  </cellXfs>
  <cellStyles count="4">
    <cellStyle name="Millares" xfId="1" builtinId="3"/>
    <cellStyle name="Normal" xfId="0" builtinId="0"/>
    <cellStyle name="Normal 2" xfId="3" xr:uid="{4142601D-8D65-A946-BE06-978A83E2BBAD}"/>
    <cellStyle name="Porcentaje" xfId="2" builtinId="5"/>
  </cellStyles>
  <dxfs count="30"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9" tint="0.79998168889431442"/>
        </patternFill>
      </fill>
      <border>
        <left style="hair">
          <color rgb="FF002060"/>
        </left>
        <right style="hair">
          <color rgb="FF002060"/>
        </right>
        <top style="hair">
          <color rgb="FF002060"/>
        </top>
        <bottom style="hair">
          <color rgb="FF002060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0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9" formatCode="dd/m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3A0A99-E0E5-9246-AEF7-CE7A3122F955}" name="Tabla1354" displayName="Tabla1354" ref="A1:M49" totalsRowShown="0" headerRowDxfId="29" dataDxfId="27" headerRowBorderDxfId="28" tableBorderDxfId="26" totalsRowBorderDxfId="25">
  <autoFilter ref="A1:M49" xr:uid="{863A0A99-E0E5-9246-AEF7-CE7A3122F955}"/>
  <sortState xmlns:xlrd2="http://schemas.microsoft.com/office/spreadsheetml/2017/richdata2" ref="A2:I39">
    <sortCondition descending="1" ref="E1:E39"/>
  </sortState>
  <tableColumns count="13">
    <tableColumn id="1" xr3:uid="{A51809F4-11CD-5745-A6AB-24C55BC64FFF}" name="Asesor" dataDxfId="24"/>
    <tableColumn id="8" xr3:uid="{A433C79F-A4AE-D842-BE12-B588DDE1597D}" name="Clave" dataDxfId="23"/>
    <tableColumn id="7" xr3:uid="{31682EAB-2814-9F47-B8ED-DB112E423B4C}" name="Fecha_Corte" dataDxfId="22"/>
    <tableColumn id="9" xr3:uid="{324DE397-CFDB-B341-BB3E-517021E99C34}" name="Mes_Actual" dataDxfId="21"/>
    <tableColumn id="6" xr3:uid="{5016FF90-8769-A04D-B136-05137E7AFB23}" name="Comision_Vida" dataDxfId="20" dataCellStyle="Millares"/>
    <tableColumn id="3" xr3:uid="{102252A9-7310-A143-8C1B-38D423400587}" name="RDA" dataDxfId="19" dataCellStyle="Millares"/>
    <tableColumn id="2" xr3:uid="{880B07A9-3580-5D46-B925-CD1791474194}" name="Comisiones_Totales" dataDxfId="18" dataCellStyle="Porcentaje"/>
    <tableColumn id="4" xr3:uid="{C878832A-7B09-A945-BDD8-A67805E67FA4}" name="Polizas" dataDxfId="17" dataCellStyle="Porcentaje"/>
    <tableColumn id="5" xr3:uid="{1AE401B0-A7AE-934B-8541-C25C07049142}" name="Lugar" dataDxfId="16"/>
    <tableColumn id="10" xr3:uid="{44F5E9C9-8A1A-6845-A55C-0B279A2D3FC2}" name="Lugar_480" dataDxfId="15"/>
    <tableColumn id="13" xr3:uid="{52181CA0-7E16-7F47-8F62-BAD94879158B}" name="Lugar_228" dataDxfId="14"/>
    <tableColumn id="12" xr3:uid="{66EAD162-58C3-424A-8DBE-AE98BFADF88A}" name="Lugar_108" dataDxfId="13"/>
    <tableColumn id="11" xr3:uid="{CFB17ED1-E19B-CB47-9971-B12BE317DDA8}" name="Lugar_28" dataDxf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0C02-9B29-2046-88CB-E1AF1E3CC52E}">
  <dimension ref="A1:M49"/>
  <sheetViews>
    <sheetView tabSelected="1" workbookViewId="0">
      <selection activeCell="A25" sqref="A25"/>
    </sheetView>
  </sheetViews>
  <sheetFormatPr baseColWidth="10" defaultRowHeight="16" x14ac:dyDescent="0.2"/>
  <cols>
    <col min="1" max="1" width="40.1640625" customWidth="1"/>
    <col min="2" max="2" width="9.1640625" customWidth="1"/>
    <col min="3" max="3" width="16.83203125" customWidth="1"/>
    <col min="4" max="4" width="15.6640625" customWidth="1"/>
    <col min="5" max="5" width="21.6640625" customWidth="1"/>
    <col min="6" max="6" width="13.83203125" customWidth="1"/>
    <col min="7" max="7" width="22.33203125" customWidth="1"/>
    <col min="8" max="8" width="12.33203125" customWidth="1"/>
    <col min="10" max="10" width="12.83203125" customWidth="1"/>
    <col min="11" max="11" width="12.33203125" customWidth="1"/>
    <col min="12" max="12" width="13" customWidth="1"/>
    <col min="13" max="13" width="16.1640625" customWidth="1"/>
  </cols>
  <sheetData>
    <row r="1" spans="1:13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50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4" t="s">
        <v>48</v>
      </c>
    </row>
    <row r="2" spans="1:13" x14ac:dyDescent="0.2">
      <c r="A2" s="5" t="s">
        <v>4</v>
      </c>
      <c r="B2" s="6">
        <v>87538</v>
      </c>
      <c r="C2" s="7">
        <v>46017</v>
      </c>
      <c r="D2" s="8" t="s">
        <v>49</v>
      </c>
      <c r="E2" s="9">
        <v>447917.15</v>
      </c>
      <c r="F2" s="15">
        <v>35810.25</v>
      </c>
      <c r="G2" s="16">
        <v>642178.21</v>
      </c>
      <c r="H2" s="10">
        <v>37</v>
      </c>
      <c r="I2" s="11">
        <v>132</v>
      </c>
      <c r="J2" s="17">
        <v>242933.26</v>
      </c>
      <c r="K2" s="17">
        <v>378867.4</v>
      </c>
      <c r="L2" s="17">
        <v>714477.89</v>
      </c>
      <c r="M2" s="18">
        <v>1209078.94</v>
      </c>
    </row>
    <row r="3" spans="1:13" x14ac:dyDescent="0.2">
      <c r="A3" s="19" t="s">
        <v>52</v>
      </c>
      <c r="B3" s="6">
        <v>80122</v>
      </c>
      <c r="C3" s="7">
        <f>C2</f>
        <v>46017</v>
      </c>
      <c r="D3" s="8" t="str">
        <f>D2</f>
        <v>Diciembre</v>
      </c>
      <c r="E3" s="9">
        <v>267421.38</v>
      </c>
      <c r="F3" s="15">
        <v>0</v>
      </c>
      <c r="G3" s="16">
        <v>378534.57</v>
      </c>
      <c r="H3" s="10">
        <v>23.5</v>
      </c>
      <c r="I3" s="11">
        <v>282</v>
      </c>
      <c r="J3" s="17">
        <v>242933.26</v>
      </c>
      <c r="K3" s="17">
        <v>378867.4</v>
      </c>
      <c r="L3" s="17">
        <v>714477.89</v>
      </c>
      <c r="M3" s="18">
        <v>1209078.94</v>
      </c>
    </row>
    <row r="4" spans="1:13" x14ac:dyDescent="0.2">
      <c r="A4" s="12" t="s">
        <v>14</v>
      </c>
      <c r="B4" s="6">
        <v>110575</v>
      </c>
      <c r="C4" s="7">
        <f t="shared" ref="C4:D19" si="0">C3</f>
        <v>46017</v>
      </c>
      <c r="D4" s="8" t="str">
        <f t="shared" si="0"/>
        <v>Diciembre</v>
      </c>
      <c r="E4" s="9">
        <v>221429.41</v>
      </c>
      <c r="F4" s="15">
        <v>0</v>
      </c>
      <c r="G4" s="16">
        <v>262396.28000000003</v>
      </c>
      <c r="H4" s="10">
        <v>12</v>
      </c>
      <c r="I4" s="11">
        <v>430</v>
      </c>
      <c r="J4" s="17">
        <v>242933.26</v>
      </c>
      <c r="K4" s="17">
        <v>378867.4</v>
      </c>
      <c r="L4" s="17">
        <v>714477.89</v>
      </c>
      <c r="M4" s="18">
        <v>1209078.94</v>
      </c>
    </row>
    <row r="5" spans="1:13" x14ac:dyDescent="0.2">
      <c r="A5" s="5" t="s">
        <v>5</v>
      </c>
      <c r="B5" s="6">
        <v>47116</v>
      </c>
      <c r="C5" s="7">
        <f t="shared" si="0"/>
        <v>46017</v>
      </c>
      <c r="D5" s="8" t="str">
        <f t="shared" si="0"/>
        <v>Diciembre</v>
      </c>
      <c r="E5" s="9">
        <v>166583.94</v>
      </c>
      <c r="F5" s="15">
        <v>83488.69</v>
      </c>
      <c r="G5" s="16">
        <v>245065.28</v>
      </c>
      <c r="H5" s="10">
        <v>25</v>
      </c>
      <c r="I5" s="11">
        <v>475</v>
      </c>
      <c r="J5" s="17">
        <v>242933.26</v>
      </c>
      <c r="K5" s="17">
        <v>378867.4</v>
      </c>
      <c r="L5" s="17">
        <v>714477.89</v>
      </c>
      <c r="M5" s="18">
        <v>1209078.94</v>
      </c>
    </row>
    <row r="6" spans="1:13" x14ac:dyDescent="0.2">
      <c r="A6" s="5" t="s">
        <v>6</v>
      </c>
      <c r="B6" s="6">
        <v>110453</v>
      </c>
      <c r="C6" s="7">
        <f t="shared" si="0"/>
        <v>46017</v>
      </c>
      <c r="D6" s="8" t="str">
        <f t="shared" si="0"/>
        <v>Diciembre</v>
      </c>
      <c r="E6" s="9">
        <v>134051.53</v>
      </c>
      <c r="F6" s="15">
        <v>46162.04</v>
      </c>
      <c r="G6" s="16">
        <v>231039.34</v>
      </c>
      <c r="H6" s="10">
        <v>12.5</v>
      </c>
      <c r="I6" s="11">
        <v>516</v>
      </c>
      <c r="J6" s="17">
        <v>242933.26</v>
      </c>
      <c r="K6" s="17">
        <v>378867.4</v>
      </c>
      <c r="L6" s="17">
        <v>714477.89</v>
      </c>
      <c r="M6" s="18">
        <v>1209078.94</v>
      </c>
    </row>
    <row r="7" spans="1:13" x14ac:dyDescent="0.2">
      <c r="A7" s="19" t="s">
        <v>53</v>
      </c>
      <c r="B7" s="6">
        <v>90355</v>
      </c>
      <c r="C7" s="7">
        <f t="shared" si="0"/>
        <v>46017</v>
      </c>
      <c r="D7" s="8" t="str">
        <f t="shared" si="0"/>
        <v>Diciembre</v>
      </c>
      <c r="E7" s="9">
        <v>143516.59</v>
      </c>
      <c r="F7" s="15">
        <v>0</v>
      </c>
      <c r="G7" s="16">
        <v>175770.77</v>
      </c>
      <c r="H7" s="10">
        <v>17</v>
      </c>
      <c r="I7" s="11">
        <v>755</v>
      </c>
      <c r="J7" s="17">
        <v>242933.26</v>
      </c>
      <c r="K7" s="17">
        <v>378867.4</v>
      </c>
      <c r="L7" s="17">
        <v>714477.89</v>
      </c>
      <c r="M7" s="18">
        <v>1209078.94</v>
      </c>
    </row>
    <row r="8" spans="1:13" x14ac:dyDescent="0.2">
      <c r="A8" s="19" t="s">
        <v>58</v>
      </c>
      <c r="B8" s="6">
        <v>107488</v>
      </c>
      <c r="C8" s="7">
        <f t="shared" si="0"/>
        <v>46017</v>
      </c>
      <c r="D8" s="8" t="str">
        <f t="shared" si="0"/>
        <v>Diciembre</v>
      </c>
      <c r="E8" s="9">
        <v>124142.15</v>
      </c>
      <c r="F8" s="15">
        <v>98256.320000000007</v>
      </c>
      <c r="G8" s="16">
        <v>153807.24</v>
      </c>
      <c r="H8" s="10">
        <v>11</v>
      </c>
      <c r="I8" s="11">
        <v>917</v>
      </c>
      <c r="J8" s="17">
        <v>242933.26</v>
      </c>
      <c r="K8" s="17">
        <v>378867.4</v>
      </c>
      <c r="L8" s="17">
        <v>714477.89</v>
      </c>
      <c r="M8" s="18">
        <v>1209078.94</v>
      </c>
    </row>
    <row r="9" spans="1:13" x14ac:dyDescent="0.2">
      <c r="A9" s="12" t="s">
        <v>7</v>
      </c>
      <c r="B9" s="6">
        <v>104718</v>
      </c>
      <c r="C9" s="7">
        <f t="shared" si="0"/>
        <v>46017</v>
      </c>
      <c r="D9" s="8" t="str">
        <f t="shared" si="0"/>
        <v>Diciembre</v>
      </c>
      <c r="E9" s="9">
        <v>111378.89</v>
      </c>
      <c r="F9" s="15">
        <v>1936.8</v>
      </c>
      <c r="G9" s="16">
        <v>138965.76000000001</v>
      </c>
      <c r="H9" s="10">
        <v>14.5</v>
      </c>
      <c r="I9" s="11">
        <v>1061</v>
      </c>
      <c r="J9" s="17">
        <v>242933.26</v>
      </c>
      <c r="K9" s="17">
        <v>378867.4</v>
      </c>
      <c r="L9" s="17">
        <v>714477.89</v>
      </c>
      <c r="M9" s="18">
        <v>1209078.94</v>
      </c>
    </row>
    <row r="10" spans="1:13" x14ac:dyDescent="0.2">
      <c r="A10" s="5" t="s">
        <v>10</v>
      </c>
      <c r="B10" s="6">
        <v>108405</v>
      </c>
      <c r="C10" s="7">
        <f t="shared" si="0"/>
        <v>46017</v>
      </c>
      <c r="D10" s="8" t="str">
        <f t="shared" si="0"/>
        <v>Diciembre</v>
      </c>
      <c r="E10" s="9">
        <v>67931.960000000006</v>
      </c>
      <c r="F10" s="15">
        <v>21703.31</v>
      </c>
      <c r="G10" s="16">
        <v>83256.070000000007</v>
      </c>
      <c r="H10" s="10">
        <v>5.5</v>
      </c>
      <c r="I10" s="11">
        <v>1965</v>
      </c>
      <c r="J10" s="17">
        <v>242933.26</v>
      </c>
      <c r="K10" s="17">
        <v>378867.4</v>
      </c>
      <c r="L10" s="17">
        <v>714477.89</v>
      </c>
      <c r="M10" s="18">
        <v>1209078.94</v>
      </c>
    </row>
    <row r="11" spans="1:13" x14ac:dyDescent="0.2">
      <c r="A11" s="5" t="s">
        <v>51</v>
      </c>
      <c r="B11" s="6">
        <v>113450</v>
      </c>
      <c r="C11" s="7">
        <f t="shared" si="0"/>
        <v>46017</v>
      </c>
      <c r="D11" s="8" t="str">
        <f t="shared" si="0"/>
        <v>Diciembre</v>
      </c>
      <c r="E11" s="9">
        <v>77167.850000000006</v>
      </c>
      <c r="F11" s="15">
        <v>188110.71</v>
      </c>
      <c r="G11" s="16">
        <v>81658.789999999994</v>
      </c>
      <c r="H11" s="10">
        <v>2</v>
      </c>
      <c r="I11" s="11">
        <v>2007</v>
      </c>
      <c r="J11" s="17">
        <v>242933.26</v>
      </c>
      <c r="K11" s="17">
        <v>378867.4</v>
      </c>
      <c r="L11" s="17">
        <v>714477.89</v>
      </c>
      <c r="M11" s="18">
        <v>1209078.94</v>
      </c>
    </row>
    <row r="12" spans="1:13" x14ac:dyDescent="0.2">
      <c r="A12" s="19" t="s">
        <v>59</v>
      </c>
      <c r="B12" s="6">
        <v>104750</v>
      </c>
      <c r="C12" s="7">
        <f t="shared" si="0"/>
        <v>46017</v>
      </c>
      <c r="D12" s="8" t="str">
        <f t="shared" si="0"/>
        <v>Diciembre</v>
      </c>
      <c r="E12" s="9">
        <v>63020.33</v>
      </c>
      <c r="F12" s="15">
        <v>0</v>
      </c>
      <c r="G12" s="16">
        <v>80421.37</v>
      </c>
      <c r="H12" s="10">
        <v>9</v>
      </c>
      <c r="I12" s="11">
        <v>2029</v>
      </c>
      <c r="J12" s="17">
        <v>242933.26</v>
      </c>
      <c r="K12" s="17">
        <v>378867.4</v>
      </c>
      <c r="L12" s="17">
        <v>714477.89</v>
      </c>
      <c r="M12" s="18">
        <v>1209078.94</v>
      </c>
    </row>
    <row r="13" spans="1:13" x14ac:dyDescent="0.2">
      <c r="A13" s="5" t="s">
        <v>12</v>
      </c>
      <c r="B13" s="6">
        <v>100677</v>
      </c>
      <c r="C13" s="7">
        <f t="shared" si="0"/>
        <v>46017</v>
      </c>
      <c r="D13" s="8" t="str">
        <f t="shared" si="0"/>
        <v>Diciembre</v>
      </c>
      <c r="E13" s="9">
        <v>54142.64</v>
      </c>
      <c r="F13" s="15">
        <v>21299.38</v>
      </c>
      <c r="G13" s="16">
        <v>79325.45</v>
      </c>
      <c r="H13" s="10">
        <v>7</v>
      </c>
      <c r="I13" s="11">
        <v>2052</v>
      </c>
      <c r="J13" s="17">
        <v>242933.26</v>
      </c>
      <c r="K13" s="17">
        <v>378867.4</v>
      </c>
      <c r="L13" s="17">
        <v>714477.89</v>
      </c>
      <c r="M13" s="18">
        <v>1209078.94</v>
      </c>
    </row>
    <row r="14" spans="1:13" x14ac:dyDescent="0.2">
      <c r="A14" s="5" t="s">
        <v>9</v>
      </c>
      <c r="B14" s="6">
        <v>104343</v>
      </c>
      <c r="C14" s="7">
        <f t="shared" si="0"/>
        <v>46017</v>
      </c>
      <c r="D14" s="8" t="str">
        <f t="shared" si="0"/>
        <v>Diciembre</v>
      </c>
      <c r="E14" s="9">
        <v>53950.91</v>
      </c>
      <c r="F14" s="15">
        <v>58810.36</v>
      </c>
      <c r="G14" s="16">
        <v>79093.41</v>
      </c>
      <c r="H14" s="10">
        <v>4.5</v>
      </c>
      <c r="I14" s="11">
        <v>2059</v>
      </c>
      <c r="J14" s="17">
        <v>242933.26</v>
      </c>
      <c r="K14" s="17">
        <v>378867.4</v>
      </c>
      <c r="L14" s="17">
        <v>714477.89</v>
      </c>
      <c r="M14" s="18">
        <v>1209078.94</v>
      </c>
    </row>
    <row r="15" spans="1:13" x14ac:dyDescent="0.2">
      <c r="A15" s="5" t="s">
        <v>23</v>
      </c>
      <c r="B15" s="6">
        <v>113076</v>
      </c>
      <c r="C15" s="7">
        <f t="shared" si="0"/>
        <v>46017</v>
      </c>
      <c r="D15" s="8" t="str">
        <f t="shared" si="0"/>
        <v>Diciembre</v>
      </c>
      <c r="E15" s="9">
        <v>58673.86</v>
      </c>
      <c r="F15" s="15">
        <v>0</v>
      </c>
      <c r="G15" s="16">
        <v>76136.210000000006</v>
      </c>
      <c r="H15" s="10">
        <v>10.5</v>
      </c>
      <c r="I15" s="11">
        <v>2146</v>
      </c>
      <c r="J15" s="17">
        <v>242933.26</v>
      </c>
      <c r="K15" s="17">
        <v>378867.4</v>
      </c>
      <c r="L15" s="17">
        <v>714477.89</v>
      </c>
      <c r="M15" s="18">
        <v>1209078.94</v>
      </c>
    </row>
    <row r="16" spans="1:13" x14ac:dyDescent="0.2">
      <c r="A16" s="5" t="s">
        <v>8</v>
      </c>
      <c r="B16" s="6">
        <v>108404</v>
      </c>
      <c r="C16" s="7">
        <f t="shared" si="0"/>
        <v>46017</v>
      </c>
      <c r="D16" s="8" t="str">
        <f t="shared" si="0"/>
        <v>Diciembre</v>
      </c>
      <c r="E16" s="9">
        <v>66724.19</v>
      </c>
      <c r="F16" s="15">
        <v>0</v>
      </c>
      <c r="G16" s="16">
        <v>74735.350000000006</v>
      </c>
      <c r="H16" s="10">
        <v>9</v>
      </c>
      <c r="I16" s="11">
        <v>2188</v>
      </c>
      <c r="J16" s="17">
        <v>242933.26</v>
      </c>
      <c r="K16" s="17">
        <v>378867.4</v>
      </c>
      <c r="L16" s="17">
        <v>714477.89</v>
      </c>
      <c r="M16" s="18">
        <v>1209078.94</v>
      </c>
    </row>
    <row r="17" spans="1:13" x14ac:dyDescent="0.2">
      <c r="A17" s="19" t="s">
        <v>55</v>
      </c>
      <c r="B17" s="6">
        <v>105696</v>
      </c>
      <c r="C17" s="7">
        <f t="shared" si="0"/>
        <v>46017</v>
      </c>
      <c r="D17" s="8" t="str">
        <f t="shared" si="0"/>
        <v>Diciembre</v>
      </c>
      <c r="E17" s="9">
        <v>66138.55</v>
      </c>
      <c r="F17" s="15">
        <v>0</v>
      </c>
      <c r="G17" s="16">
        <v>70807.13</v>
      </c>
      <c r="H17" s="10">
        <v>5</v>
      </c>
      <c r="I17" s="11">
        <v>2302</v>
      </c>
      <c r="J17" s="17">
        <v>242933.26</v>
      </c>
      <c r="K17" s="17">
        <v>378867.4</v>
      </c>
      <c r="L17" s="17">
        <v>714477.89</v>
      </c>
      <c r="M17" s="18">
        <v>1209078.94</v>
      </c>
    </row>
    <row r="18" spans="1:13" x14ac:dyDescent="0.2">
      <c r="A18" s="5" t="s">
        <v>13</v>
      </c>
      <c r="B18" s="6">
        <v>111056</v>
      </c>
      <c r="C18" s="7">
        <f t="shared" si="0"/>
        <v>46017</v>
      </c>
      <c r="D18" s="8" t="str">
        <f t="shared" si="0"/>
        <v>Diciembre</v>
      </c>
      <c r="E18" s="9">
        <v>29640.48</v>
      </c>
      <c r="F18" s="15">
        <v>0</v>
      </c>
      <c r="G18" s="16">
        <v>65685.23</v>
      </c>
      <c r="H18" s="10">
        <v>7</v>
      </c>
      <c r="I18" s="11">
        <v>2474</v>
      </c>
      <c r="J18" s="17">
        <v>242933.26</v>
      </c>
      <c r="K18" s="17">
        <v>378867.4</v>
      </c>
      <c r="L18" s="17">
        <v>714477.89</v>
      </c>
      <c r="M18" s="18">
        <v>1209078.94</v>
      </c>
    </row>
    <row r="19" spans="1:13" x14ac:dyDescent="0.2">
      <c r="A19" s="5" t="s">
        <v>18</v>
      </c>
      <c r="B19" s="6">
        <v>115047</v>
      </c>
      <c r="C19" s="7">
        <f t="shared" si="0"/>
        <v>46017</v>
      </c>
      <c r="D19" s="8" t="str">
        <f t="shared" si="0"/>
        <v>Diciembre</v>
      </c>
      <c r="E19" s="9">
        <v>46321.02</v>
      </c>
      <c r="F19" s="15">
        <v>0</v>
      </c>
      <c r="G19" s="16">
        <v>60210.9</v>
      </c>
      <c r="H19" s="10">
        <v>9.5</v>
      </c>
      <c r="I19" s="11">
        <v>2657</v>
      </c>
      <c r="J19" s="17">
        <v>242933.26</v>
      </c>
      <c r="K19" s="17">
        <v>378867.4</v>
      </c>
      <c r="L19" s="17">
        <v>714477.89</v>
      </c>
      <c r="M19" s="18">
        <v>1209078.94</v>
      </c>
    </row>
    <row r="20" spans="1:13" x14ac:dyDescent="0.2">
      <c r="A20" s="19" t="s">
        <v>54</v>
      </c>
      <c r="B20" s="6">
        <v>109998</v>
      </c>
      <c r="C20" s="7">
        <f t="shared" ref="C20:D35" si="1">C19</f>
        <v>46017</v>
      </c>
      <c r="D20" s="8" t="str">
        <f t="shared" si="1"/>
        <v>Diciembre</v>
      </c>
      <c r="E20" s="9">
        <v>46162.04</v>
      </c>
      <c r="F20" s="15">
        <v>0</v>
      </c>
      <c r="G20" s="16">
        <v>60069.89</v>
      </c>
      <c r="H20" s="10">
        <v>12</v>
      </c>
      <c r="I20" s="11">
        <v>2665</v>
      </c>
      <c r="J20" s="17">
        <v>242933.26</v>
      </c>
      <c r="K20" s="17">
        <v>378867.4</v>
      </c>
      <c r="L20" s="17">
        <v>714477.89</v>
      </c>
      <c r="M20" s="18">
        <v>1209078.94</v>
      </c>
    </row>
    <row r="21" spans="1:13" x14ac:dyDescent="0.2">
      <c r="A21" s="12" t="s">
        <v>11</v>
      </c>
      <c r="B21" s="6">
        <v>80925</v>
      </c>
      <c r="C21" s="7">
        <f t="shared" si="1"/>
        <v>46017</v>
      </c>
      <c r="D21" s="8" t="str">
        <f t="shared" si="1"/>
        <v>Diciembre</v>
      </c>
      <c r="E21" s="9">
        <v>55608.47</v>
      </c>
      <c r="F21" s="15">
        <v>0</v>
      </c>
      <c r="G21" s="16">
        <v>58670.38</v>
      </c>
      <c r="H21" s="10">
        <v>13.5</v>
      </c>
      <c r="I21" s="11">
        <v>2724</v>
      </c>
      <c r="J21" s="17">
        <v>242933.26</v>
      </c>
      <c r="K21" s="17">
        <v>378867.4</v>
      </c>
      <c r="L21" s="17">
        <v>714477.89</v>
      </c>
      <c r="M21" s="18">
        <v>1209078.94</v>
      </c>
    </row>
    <row r="22" spans="1:13" x14ac:dyDescent="0.2">
      <c r="A22" s="5" t="s">
        <v>15</v>
      </c>
      <c r="B22" s="6">
        <v>114100</v>
      </c>
      <c r="C22" s="7">
        <f t="shared" si="1"/>
        <v>46017</v>
      </c>
      <c r="D22" s="8" t="str">
        <f t="shared" si="1"/>
        <v>Diciembre</v>
      </c>
      <c r="E22" s="9">
        <v>18825.599999999999</v>
      </c>
      <c r="F22" s="15">
        <v>0</v>
      </c>
      <c r="G22" s="16">
        <v>53344.39</v>
      </c>
      <c r="H22" s="10">
        <v>3</v>
      </c>
      <c r="I22" s="11">
        <v>2992</v>
      </c>
      <c r="J22" s="17">
        <v>242933.26</v>
      </c>
      <c r="K22" s="17">
        <v>378867.4</v>
      </c>
      <c r="L22" s="17">
        <v>714477.89</v>
      </c>
      <c r="M22" s="18">
        <v>1209078.94</v>
      </c>
    </row>
    <row r="23" spans="1:13" x14ac:dyDescent="0.2">
      <c r="A23" s="5" t="s">
        <v>34</v>
      </c>
      <c r="B23" s="6">
        <v>98797</v>
      </c>
      <c r="C23" s="7">
        <f t="shared" si="1"/>
        <v>46017</v>
      </c>
      <c r="D23" s="8" t="str">
        <f t="shared" si="1"/>
        <v>Diciembre</v>
      </c>
      <c r="E23" s="9">
        <v>44428.65</v>
      </c>
      <c r="F23" s="15">
        <v>0</v>
      </c>
      <c r="G23" s="16">
        <v>47221.08</v>
      </c>
      <c r="H23" s="10">
        <v>9</v>
      </c>
      <c r="I23" s="11">
        <v>3306</v>
      </c>
      <c r="J23" s="17">
        <v>242933.26</v>
      </c>
      <c r="K23" s="17">
        <v>378867.4</v>
      </c>
      <c r="L23" s="17">
        <v>714477.89</v>
      </c>
      <c r="M23" s="18">
        <v>1209078.94</v>
      </c>
    </row>
    <row r="24" spans="1:13" x14ac:dyDescent="0.2">
      <c r="A24" s="5" t="s">
        <v>26</v>
      </c>
      <c r="B24" s="6">
        <v>63441</v>
      </c>
      <c r="C24" s="7">
        <f t="shared" si="1"/>
        <v>46017</v>
      </c>
      <c r="D24" s="8" t="str">
        <f t="shared" si="1"/>
        <v>Diciembre</v>
      </c>
      <c r="E24" s="9">
        <v>19969.13</v>
      </c>
      <c r="F24" s="15">
        <v>0</v>
      </c>
      <c r="G24" s="16">
        <v>38177.96</v>
      </c>
      <c r="H24" s="10">
        <v>4.5</v>
      </c>
      <c r="I24" s="11">
        <v>3888</v>
      </c>
      <c r="J24" s="17">
        <v>242933.26</v>
      </c>
      <c r="K24" s="17">
        <v>378867.4</v>
      </c>
      <c r="L24" s="17">
        <v>714477.89</v>
      </c>
      <c r="M24" s="18">
        <v>1209078.94</v>
      </c>
    </row>
    <row r="25" spans="1:13" x14ac:dyDescent="0.2">
      <c r="A25" s="19" t="s">
        <v>60</v>
      </c>
      <c r="B25" s="6">
        <v>101640</v>
      </c>
      <c r="C25" s="7">
        <f t="shared" si="1"/>
        <v>46017</v>
      </c>
      <c r="D25" s="8" t="str">
        <f t="shared" si="1"/>
        <v>Diciembre</v>
      </c>
      <c r="E25" s="9">
        <v>21245.26</v>
      </c>
      <c r="F25" s="15">
        <v>0</v>
      </c>
      <c r="G25" s="16">
        <v>36757.050000000003</v>
      </c>
      <c r="H25" s="10">
        <v>3</v>
      </c>
      <c r="I25" s="11">
        <v>3993</v>
      </c>
      <c r="J25" s="17">
        <v>242933.26</v>
      </c>
      <c r="K25" s="17">
        <v>378867.4</v>
      </c>
      <c r="L25" s="17">
        <v>714477.89</v>
      </c>
      <c r="M25" s="18">
        <v>1209078.94</v>
      </c>
    </row>
    <row r="26" spans="1:13" x14ac:dyDescent="0.2">
      <c r="A26" s="5" t="s">
        <v>19</v>
      </c>
      <c r="B26" s="6">
        <v>109819</v>
      </c>
      <c r="C26" s="7">
        <f t="shared" si="1"/>
        <v>46017</v>
      </c>
      <c r="D26" s="8" t="str">
        <f t="shared" si="1"/>
        <v>Diciembre</v>
      </c>
      <c r="E26" s="9">
        <v>26982.2</v>
      </c>
      <c r="F26" s="15">
        <v>38090.639999999999</v>
      </c>
      <c r="G26" s="16">
        <v>35997.51</v>
      </c>
      <c r="H26" s="10">
        <v>3.75</v>
      </c>
      <c r="I26" s="11">
        <v>4046</v>
      </c>
      <c r="J26" s="17">
        <v>242933.26</v>
      </c>
      <c r="K26" s="17">
        <v>378867.4</v>
      </c>
      <c r="L26" s="17">
        <v>714477.89</v>
      </c>
      <c r="M26" s="18">
        <v>1209078.94</v>
      </c>
    </row>
    <row r="27" spans="1:13" x14ac:dyDescent="0.2">
      <c r="A27" s="5" t="s">
        <v>20</v>
      </c>
      <c r="B27" s="6">
        <v>110105</v>
      </c>
      <c r="C27" s="7">
        <f t="shared" si="1"/>
        <v>46017</v>
      </c>
      <c r="D27" s="8" t="str">
        <f t="shared" si="1"/>
        <v>Diciembre</v>
      </c>
      <c r="E27" s="9">
        <v>14939.8</v>
      </c>
      <c r="F27" s="15">
        <v>0</v>
      </c>
      <c r="G27" s="16">
        <v>34671.379999999997</v>
      </c>
      <c r="H27" s="10">
        <v>3.5</v>
      </c>
      <c r="I27" s="11">
        <v>4156</v>
      </c>
      <c r="J27" s="17">
        <v>242933.26</v>
      </c>
      <c r="K27" s="17">
        <v>378867.4</v>
      </c>
      <c r="L27" s="17">
        <v>714477.89</v>
      </c>
      <c r="M27" s="18">
        <v>1209078.94</v>
      </c>
    </row>
    <row r="28" spans="1:13" x14ac:dyDescent="0.2">
      <c r="A28" s="5" t="s">
        <v>16</v>
      </c>
      <c r="B28" s="6">
        <v>112083</v>
      </c>
      <c r="C28" s="7">
        <f t="shared" si="1"/>
        <v>46017</v>
      </c>
      <c r="D28" s="8" t="str">
        <f t="shared" si="1"/>
        <v>Diciembre</v>
      </c>
      <c r="E28" s="9">
        <v>23146.04</v>
      </c>
      <c r="F28" s="15">
        <v>0</v>
      </c>
      <c r="G28" s="16">
        <v>34538.559999999998</v>
      </c>
      <c r="H28" s="10">
        <v>1</v>
      </c>
      <c r="I28" s="11">
        <v>4174</v>
      </c>
      <c r="J28" s="17">
        <v>242933.26</v>
      </c>
      <c r="K28" s="17">
        <v>378867.4</v>
      </c>
      <c r="L28" s="17">
        <v>714477.89</v>
      </c>
      <c r="M28" s="18">
        <v>1209078.94</v>
      </c>
    </row>
    <row r="29" spans="1:13" x14ac:dyDescent="0.2">
      <c r="A29" s="5" t="s">
        <v>22</v>
      </c>
      <c r="B29" s="6">
        <v>106018</v>
      </c>
      <c r="C29" s="7">
        <f t="shared" si="1"/>
        <v>46017</v>
      </c>
      <c r="D29" s="8" t="str">
        <f t="shared" si="1"/>
        <v>Diciembre</v>
      </c>
      <c r="E29" s="9">
        <v>21299.38</v>
      </c>
      <c r="F29" s="15">
        <v>0</v>
      </c>
      <c r="G29" s="16">
        <v>28759.66</v>
      </c>
      <c r="H29" s="10">
        <v>8</v>
      </c>
      <c r="I29" s="11">
        <v>4718</v>
      </c>
      <c r="J29" s="17">
        <v>242933.26</v>
      </c>
      <c r="K29" s="17">
        <v>378867.4</v>
      </c>
      <c r="L29" s="17">
        <v>714477.89</v>
      </c>
      <c r="M29" s="18">
        <v>1209078.94</v>
      </c>
    </row>
    <row r="30" spans="1:13" x14ac:dyDescent="0.2">
      <c r="A30" s="5" t="s">
        <v>31</v>
      </c>
      <c r="B30" s="6">
        <v>114664</v>
      </c>
      <c r="C30" s="7">
        <f t="shared" si="1"/>
        <v>46017</v>
      </c>
      <c r="D30" s="8" t="str">
        <f t="shared" si="1"/>
        <v>Diciembre</v>
      </c>
      <c r="E30" s="9">
        <v>11030.48</v>
      </c>
      <c r="F30" s="15">
        <v>0</v>
      </c>
      <c r="G30" s="16">
        <v>28719.8</v>
      </c>
      <c r="H30" s="10">
        <v>2</v>
      </c>
      <c r="I30" s="11">
        <v>4728</v>
      </c>
      <c r="J30" s="17">
        <v>242933.26</v>
      </c>
      <c r="K30" s="17">
        <v>378867.4</v>
      </c>
      <c r="L30" s="17">
        <v>714477.89</v>
      </c>
      <c r="M30" s="18">
        <v>1209078.94</v>
      </c>
    </row>
    <row r="31" spans="1:13" x14ac:dyDescent="0.2">
      <c r="A31" s="5" t="s">
        <v>28</v>
      </c>
      <c r="B31" s="6">
        <v>114157</v>
      </c>
      <c r="C31" s="7">
        <f t="shared" si="1"/>
        <v>46017</v>
      </c>
      <c r="D31" s="8" t="str">
        <f t="shared" si="1"/>
        <v>Diciembre</v>
      </c>
      <c r="E31" s="9">
        <v>21703.31</v>
      </c>
      <c r="F31" s="15">
        <v>0</v>
      </c>
      <c r="G31" s="16">
        <v>28643.45</v>
      </c>
      <c r="H31" s="10">
        <v>4</v>
      </c>
      <c r="I31" s="11">
        <v>4739</v>
      </c>
      <c r="J31" s="17">
        <v>242933.26</v>
      </c>
      <c r="K31" s="17">
        <v>378867.4</v>
      </c>
      <c r="L31" s="17">
        <v>714477.89</v>
      </c>
      <c r="M31" s="18">
        <v>1209078.94</v>
      </c>
    </row>
    <row r="32" spans="1:13" x14ac:dyDescent="0.2">
      <c r="A32" s="5" t="s">
        <v>24</v>
      </c>
      <c r="B32" s="6">
        <v>114431</v>
      </c>
      <c r="C32" s="7">
        <f t="shared" si="1"/>
        <v>46017</v>
      </c>
      <c r="D32" s="8" t="str">
        <f t="shared" si="1"/>
        <v>Diciembre</v>
      </c>
      <c r="E32" s="9">
        <v>28571.77</v>
      </c>
      <c r="F32" s="15">
        <v>0</v>
      </c>
      <c r="G32" s="16">
        <v>28571.77</v>
      </c>
      <c r="H32" s="10">
        <v>4</v>
      </c>
      <c r="I32" s="11">
        <v>4745</v>
      </c>
      <c r="J32" s="17">
        <v>242933.26</v>
      </c>
      <c r="K32" s="17">
        <v>378867.4</v>
      </c>
      <c r="L32" s="17">
        <v>714477.89</v>
      </c>
      <c r="M32" s="18">
        <v>1209078.94</v>
      </c>
    </row>
    <row r="33" spans="1:13" x14ac:dyDescent="0.2">
      <c r="A33" s="5" t="s">
        <v>57</v>
      </c>
      <c r="B33" s="6">
        <v>112522</v>
      </c>
      <c r="C33" s="7">
        <f t="shared" si="1"/>
        <v>46017</v>
      </c>
      <c r="D33" s="8" t="str">
        <f t="shared" si="1"/>
        <v>Diciembre</v>
      </c>
      <c r="E33" s="9">
        <v>13775.96</v>
      </c>
      <c r="F33" s="15">
        <v>1858.06</v>
      </c>
      <c r="G33" s="16">
        <v>24346.48</v>
      </c>
      <c r="H33" s="10">
        <v>1</v>
      </c>
      <c r="I33" s="11">
        <v>5197</v>
      </c>
      <c r="J33" s="17">
        <v>242933.26</v>
      </c>
      <c r="K33" s="17">
        <v>378867.4</v>
      </c>
      <c r="L33" s="17">
        <v>714477.89</v>
      </c>
      <c r="M33" s="18">
        <v>1209078.94</v>
      </c>
    </row>
    <row r="34" spans="1:13" x14ac:dyDescent="0.2">
      <c r="A34" s="5" t="s">
        <v>17</v>
      </c>
      <c r="B34" s="6">
        <v>111960</v>
      </c>
      <c r="C34" s="7">
        <f t="shared" si="1"/>
        <v>46017</v>
      </c>
      <c r="D34" s="8" t="str">
        <f t="shared" si="1"/>
        <v>Diciembre</v>
      </c>
      <c r="E34" s="9">
        <v>16936.509999999998</v>
      </c>
      <c r="F34" s="15">
        <v>0</v>
      </c>
      <c r="G34" s="16">
        <v>21562.29</v>
      </c>
      <c r="H34" s="10">
        <v>4.5</v>
      </c>
      <c r="I34" s="11">
        <v>5509</v>
      </c>
      <c r="J34" s="17">
        <v>242933.26</v>
      </c>
      <c r="K34" s="17">
        <v>378867.4</v>
      </c>
      <c r="L34" s="17">
        <v>714477.89</v>
      </c>
      <c r="M34" s="18">
        <v>1209078.94</v>
      </c>
    </row>
    <row r="35" spans="1:13" x14ac:dyDescent="0.2">
      <c r="A35" s="5" t="s">
        <v>21</v>
      </c>
      <c r="B35" s="6">
        <v>95148</v>
      </c>
      <c r="C35" s="7">
        <f t="shared" si="1"/>
        <v>46017</v>
      </c>
      <c r="D35" s="8" t="str">
        <f t="shared" si="1"/>
        <v>Diciembre</v>
      </c>
      <c r="E35" s="9">
        <v>16458.439999999999</v>
      </c>
      <c r="F35" s="15">
        <v>0</v>
      </c>
      <c r="G35" s="16">
        <v>21493.360000000001</v>
      </c>
      <c r="H35" s="10">
        <v>2.5</v>
      </c>
      <c r="I35" s="11">
        <v>5516</v>
      </c>
      <c r="J35" s="17">
        <v>242933.26</v>
      </c>
      <c r="K35" s="17">
        <v>378867.4</v>
      </c>
      <c r="L35" s="17">
        <v>714477.89</v>
      </c>
      <c r="M35" s="18">
        <v>1209078.94</v>
      </c>
    </row>
    <row r="36" spans="1:13" x14ac:dyDescent="0.2">
      <c r="A36" s="5" t="s">
        <v>27</v>
      </c>
      <c r="B36" s="6">
        <v>109007</v>
      </c>
      <c r="C36" s="7">
        <f t="shared" ref="C36:D49" si="2">C35</f>
        <v>46017</v>
      </c>
      <c r="D36" s="8" t="str">
        <f t="shared" si="2"/>
        <v>Diciembre</v>
      </c>
      <c r="E36" s="9">
        <v>20496.169999999998</v>
      </c>
      <c r="F36" s="15">
        <v>0</v>
      </c>
      <c r="G36" s="16">
        <v>20496.169999999998</v>
      </c>
      <c r="H36" s="10">
        <v>0</v>
      </c>
      <c r="I36" s="11">
        <v>5644</v>
      </c>
      <c r="J36" s="17">
        <v>242933.26</v>
      </c>
      <c r="K36" s="17">
        <v>378867.4</v>
      </c>
      <c r="L36" s="17">
        <v>714477.89</v>
      </c>
      <c r="M36" s="18">
        <v>1209078.94</v>
      </c>
    </row>
    <row r="37" spans="1:13" x14ac:dyDescent="0.2">
      <c r="A37" s="5" t="s">
        <v>30</v>
      </c>
      <c r="B37" s="6">
        <v>94205</v>
      </c>
      <c r="C37" s="7">
        <f t="shared" si="2"/>
        <v>46017</v>
      </c>
      <c r="D37" s="8" t="str">
        <f t="shared" si="2"/>
        <v>Diciembre</v>
      </c>
      <c r="E37" s="9">
        <v>16616.7</v>
      </c>
      <c r="F37" s="15">
        <v>0</v>
      </c>
      <c r="G37" s="16">
        <v>19465.39</v>
      </c>
      <c r="H37" s="10">
        <v>6.5</v>
      </c>
      <c r="I37" s="11">
        <v>5765</v>
      </c>
      <c r="J37" s="17">
        <v>242933.26</v>
      </c>
      <c r="K37" s="17">
        <v>378867.4</v>
      </c>
      <c r="L37" s="17">
        <v>714477.89</v>
      </c>
      <c r="M37" s="18">
        <v>1209078.94</v>
      </c>
    </row>
    <row r="38" spans="1:13" x14ac:dyDescent="0.2">
      <c r="A38" s="5" t="s">
        <v>33</v>
      </c>
      <c r="B38" s="6">
        <v>90177</v>
      </c>
      <c r="C38" s="7">
        <f t="shared" si="2"/>
        <v>46017</v>
      </c>
      <c r="D38" s="8" t="str">
        <f t="shared" si="2"/>
        <v>Diciembre</v>
      </c>
      <c r="E38" s="9">
        <v>16172.53</v>
      </c>
      <c r="F38" s="15">
        <v>0</v>
      </c>
      <c r="G38" s="16">
        <v>16873.419999999998</v>
      </c>
      <c r="H38" s="10">
        <v>1.5</v>
      </c>
      <c r="I38" s="11">
        <v>6103</v>
      </c>
      <c r="J38" s="17">
        <v>242933.26</v>
      </c>
      <c r="K38" s="17">
        <v>378867.4</v>
      </c>
      <c r="L38" s="17">
        <v>714477.89</v>
      </c>
      <c r="M38" s="18">
        <v>1209078.94</v>
      </c>
    </row>
    <row r="39" spans="1:13" x14ac:dyDescent="0.2">
      <c r="A39" s="5" t="s">
        <v>25</v>
      </c>
      <c r="B39" s="6">
        <v>108658</v>
      </c>
      <c r="C39" s="7">
        <f t="shared" si="2"/>
        <v>46017</v>
      </c>
      <c r="D39" s="8" t="str">
        <f t="shared" si="2"/>
        <v>Diciembre</v>
      </c>
      <c r="E39" s="9">
        <v>1710.31</v>
      </c>
      <c r="F39" s="15">
        <v>16616.7</v>
      </c>
      <c r="G39" s="16">
        <v>16289.27</v>
      </c>
      <c r="H39" s="10">
        <v>2.5</v>
      </c>
      <c r="I39" s="11">
        <v>6186</v>
      </c>
      <c r="J39" s="17">
        <v>242933.26</v>
      </c>
      <c r="K39" s="17">
        <v>378867.4</v>
      </c>
      <c r="L39" s="17">
        <v>714477.89</v>
      </c>
      <c r="M39" s="18">
        <v>1209078.94</v>
      </c>
    </row>
    <row r="40" spans="1:13" x14ac:dyDescent="0.2">
      <c r="A40" s="5" t="s">
        <v>32</v>
      </c>
      <c r="B40" s="6">
        <v>108920</v>
      </c>
      <c r="C40" s="7">
        <f t="shared" si="2"/>
        <v>46017</v>
      </c>
      <c r="D40" s="8" t="str">
        <f t="shared" si="2"/>
        <v>Diciembre</v>
      </c>
      <c r="E40" s="9">
        <v>14674.8</v>
      </c>
      <c r="F40" s="15">
        <v>0</v>
      </c>
      <c r="G40" s="16">
        <v>14674.8</v>
      </c>
      <c r="H40" s="10">
        <v>6</v>
      </c>
      <c r="I40" s="11">
        <v>6411</v>
      </c>
      <c r="J40" s="17">
        <v>242933.26</v>
      </c>
      <c r="K40" s="17">
        <v>378867.4</v>
      </c>
      <c r="L40" s="17">
        <v>714477.89</v>
      </c>
      <c r="M40" s="18">
        <v>1209078.94</v>
      </c>
    </row>
    <row r="41" spans="1:13" x14ac:dyDescent="0.2">
      <c r="A41" s="19" t="s">
        <v>56</v>
      </c>
      <c r="B41" s="6">
        <v>81044</v>
      </c>
      <c r="C41" s="7">
        <f t="shared" si="2"/>
        <v>46017</v>
      </c>
      <c r="D41" s="8" t="str">
        <f t="shared" si="2"/>
        <v>Diciembre</v>
      </c>
      <c r="E41" s="9">
        <v>10230.73</v>
      </c>
      <c r="F41" s="15">
        <v>0</v>
      </c>
      <c r="G41" s="16">
        <v>11002.21</v>
      </c>
      <c r="H41" s="10">
        <v>0</v>
      </c>
      <c r="I41" s="11">
        <v>6993</v>
      </c>
      <c r="J41" s="17">
        <v>242933.26</v>
      </c>
      <c r="K41" s="17">
        <v>378867.4</v>
      </c>
      <c r="L41" s="17">
        <v>714477.89</v>
      </c>
      <c r="M41" s="18">
        <v>1209078.94</v>
      </c>
    </row>
    <row r="42" spans="1:13" x14ac:dyDescent="0.2">
      <c r="A42" s="5" t="s">
        <v>29</v>
      </c>
      <c r="B42" s="6">
        <v>65046</v>
      </c>
      <c r="C42" s="7">
        <f t="shared" si="2"/>
        <v>46017</v>
      </c>
      <c r="D42" s="8" t="str">
        <f t="shared" si="2"/>
        <v>Diciembre</v>
      </c>
      <c r="E42" s="9">
        <v>2621.68</v>
      </c>
      <c r="F42" s="15">
        <v>145379.41</v>
      </c>
      <c r="G42" s="16">
        <v>10720.23</v>
      </c>
      <c r="H42" s="10">
        <v>0.75</v>
      </c>
      <c r="I42" s="11">
        <v>7047</v>
      </c>
      <c r="J42" s="17">
        <v>242933.26</v>
      </c>
      <c r="K42" s="17">
        <v>378867.4</v>
      </c>
      <c r="L42" s="17">
        <v>714477.89</v>
      </c>
      <c r="M42" s="18">
        <v>1209078.94</v>
      </c>
    </row>
    <row r="43" spans="1:13" x14ac:dyDescent="0.2">
      <c r="A43" s="19" t="s">
        <v>53</v>
      </c>
      <c r="B43" s="6">
        <v>88234</v>
      </c>
      <c r="C43" s="7">
        <f t="shared" si="2"/>
        <v>46017</v>
      </c>
      <c r="D43" s="8" t="str">
        <f t="shared" si="2"/>
        <v>Diciembre</v>
      </c>
      <c r="E43" s="13">
        <v>9828.84</v>
      </c>
      <c r="F43" s="15">
        <v>0</v>
      </c>
      <c r="G43" s="16">
        <v>10505.36</v>
      </c>
      <c r="H43" s="10">
        <v>0</v>
      </c>
      <c r="I43" s="14">
        <v>7078</v>
      </c>
      <c r="J43" s="17">
        <v>242933.26</v>
      </c>
      <c r="K43" s="17">
        <v>378867.4</v>
      </c>
      <c r="L43" s="17">
        <v>714477.89</v>
      </c>
      <c r="M43" s="18">
        <v>1209078.94</v>
      </c>
    </row>
    <row r="44" spans="1:13" x14ac:dyDescent="0.2">
      <c r="A44" s="5" t="s">
        <v>36</v>
      </c>
      <c r="B44" s="6">
        <v>94156</v>
      </c>
      <c r="C44" s="7">
        <f t="shared" si="2"/>
        <v>46017</v>
      </c>
      <c r="D44" s="8" t="str">
        <f t="shared" si="2"/>
        <v>Diciembre</v>
      </c>
      <c r="E44" s="13">
        <v>4845.7</v>
      </c>
      <c r="F44" s="15">
        <v>24742.26</v>
      </c>
      <c r="G44" s="16">
        <v>9468.5499999999993</v>
      </c>
      <c r="H44" s="10">
        <v>1</v>
      </c>
      <c r="I44" s="14">
        <v>7262</v>
      </c>
      <c r="J44" s="17">
        <v>242933.26</v>
      </c>
      <c r="K44" s="17">
        <v>378867.4</v>
      </c>
      <c r="L44" s="17">
        <v>714477.89</v>
      </c>
      <c r="M44" s="18">
        <v>1209078.94</v>
      </c>
    </row>
    <row r="45" spans="1:13" x14ac:dyDescent="0.2">
      <c r="A45" s="5" t="s">
        <v>35</v>
      </c>
      <c r="B45" s="6">
        <v>102825</v>
      </c>
      <c r="C45" s="7">
        <f t="shared" si="2"/>
        <v>46017</v>
      </c>
      <c r="D45" s="8" t="str">
        <f t="shared" si="2"/>
        <v>Diciembre</v>
      </c>
      <c r="E45" s="13">
        <v>7778.62</v>
      </c>
      <c r="F45" s="15">
        <v>0</v>
      </c>
      <c r="G45" s="16">
        <v>8209.7999999999993</v>
      </c>
      <c r="H45" s="10">
        <v>0</v>
      </c>
      <c r="I45" s="14">
        <v>7483</v>
      </c>
      <c r="J45" s="17">
        <v>242933.26</v>
      </c>
      <c r="K45" s="17">
        <v>378867.4</v>
      </c>
      <c r="L45" s="17">
        <v>714477.89</v>
      </c>
      <c r="M45" s="18">
        <v>1209078.94</v>
      </c>
    </row>
    <row r="46" spans="1:13" x14ac:dyDescent="0.2">
      <c r="A46" s="5" t="s">
        <v>40</v>
      </c>
      <c r="B46" s="6">
        <v>81618</v>
      </c>
      <c r="C46" s="7">
        <f t="shared" si="2"/>
        <v>46017</v>
      </c>
      <c r="D46" s="8" t="str">
        <f t="shared" si="2"/>
        <v>Diciembre</v>
      </c>
      <c r="E46" s="13">
        <v>7899.09</v>
      </c>
      <c r="F46" s="15">
        <v>0</v>
      </c>
      <c r="G46" s="16">
        <v>7899.09</v>
      </c>
      <c r="H46" s="10">
        <v>0</v>
      </c>
      <c r="I46" s="14">
        <v>7529</v>
      </c>
      <c r="J46" s="17">
        <v>242933.26</v>
      </c>
      <c r="K46" s="17">
        <v>378867.4</v>
      </c>
      <c r="L46" s="17">
        <v>714477.89</v>
      </c>
      <c r="M46" s="18">
        <v>1209078.94</v>
      </c>
    </row>
    <row r="47" spans="1:13" x14ac:dyDescent="0.2">
      <c r="A47" s="5" t="s">
        <v>39</v>
      </c>
      <c r="B47" s="6">
        <v>69684</v>
      </c>
      <c r="C47" s="7">
        <f t="shared" si="2"/>
        <v>46017</v>
      </c>
      <c r="D47" s="8" t="str">
        <f t="shared" si="2"/>
        <v>Diciembre</v>
      </c>
      <c r="E47" s="13">
        <v>6593.75</v>
      </c>
      <c r="F47" s="15">
        <v>0</v>
      </c>
      <c r="G47" s="16">
        <v>6593.75</v>
      </c>
      <c r="H47" s="10">
        <v>0</v>
      </c>
      <c r="I47" s="14">
        <v>7745</v>
      </c>
      <c r="J47" s="17">
        <v>242933.26</v>
      </c>
      <c r="K47" s="17">
        <v>378867.4</v>
      </c>
      <c r="L47" s="17">
        <v>714477.89</v>
      </c>
      <c r="M47" s="18">
        <v>1209078.94</v>
      </c>
    </row>
    <row r="48" spans="1:13" x14ac:dyDescent="0.2">
      <c r="A48" s="12" t="s">
        <v>38</v>
      </c>
      <c r="B48" s="6">
        <v>59120</v>
      </c>
      <c r="C48" s="7">
        <f t="shared" si="2"/>
        <v>46017</v>
      </c>
      <c r="D48" s="8" t="str">
        <f t="shared" si="2"/>
        <v>Diciembre</v>
      </c>
      <c r="E48" s="13">
        <v>0</v>
      </c>
      <c r="F48" s="15">
        <v>0</v>
      </c>
      <c r="G48" s="16">
        <v>1026.23</v>
      </c>
      <c r="H48" s="10">
        <v>0</v>
      </c>
      <c r="I48" s="14">
        <v>8996</v>
      </c>
      <c r="J48" s="17">
        <v>242933.26</v>
      </c>
      <c r="K48" s="17">
        <v>378867.4</v>
      </c>
      <c r="L48" s="17">
        <v>714477.89</v>
      </c>
      <c r="M48" s="18">
        <v>1209078.94</v>
      </c>
    </row>
    <row r="49" spans="1:13" x14ac:dyDescent="0.2">
      <c r="A49" s="5" t="s">
        <v>37</v>
      </c>
      <c r="B49" s="6">
        <v>103982</v>
      </c>
      <c r="C49" s="7">
        <f t="shared" si="2"/>
        <v>46017</v>
      </c>
      <c r="D49" s="8" t="str">
        <f t="shared" si="2"/>
        <v>Diciembre</v>
      </c>
      <c r="E49" s="13">
        <v>0</v>
      </c>
      <c r="F49" s="15">
        <v>0</v>
      </c>
      <c r="G49" s="16">
        <v>0</v>
      </c>
      <c r="H49" s="10">
        <v>0</v>
      </c>
      <c r="I49" s="14">
        <v>10320</v>
      </c>
      <c r="J49" s="17">
        <v>242933.26</v>
      </c>
      <c r="K49" s="17">
        <v>378867.4</v>
      </c>
      <c r="L49" s="17">
        <v>714477.89</v>
      </c>
      <c r="M49" s="18">
        <v>1209078.94</v>
      </c>
    </row>
  </sheetData>
  <phoneticPr fontId="9" type="noConversion"/>
  <conditionalFormatting sqref="A3">
    <cfRule type="expression" dxfId="11" priority="10" stopIfTrue="1">
      <formula>#REF!&lt;&gt;""</formula>
    </cfRule>
  </conditionalFormatting>
  <conditionalFormatting sqref="A7:A8">
    <cfRule type="expression" dxfId="10" priority="3" stopIfTrue="1">
      <formula>#REF!&lt;&gt;""</formula>
    </cfRule>
  </conditionalFormatting>
  <conditionalFormatting sqref="A12">
    <cfRule type="expression" dxfId="9" priority="2" stopIfTrue="1">
      <formula>#REF!&lt;&gt;""</formula>
    </cfRule>
  </conditionalFormatting>
  <conditionalFormatting sqref="A17">
    <cfRule type="expression" dxfId="8" priority="5" stopIfTrue="1">
      <formula>#REF!&lt;&gt;""</formula>
    </cfRule>
  </conditionalFormatting>
  <conditionalFormatting sqref="A20">
    <cfRule type="expression" dxfId="7" priority="6" stopIfTrue="1">
      <formula>#REF!&lt;&gt;""</formula>
    </cfRule>
  </conditionalFormatting>
  <conditionalFormatting sqref="A25">
    <cfRule type="expression" dxfId="6" priority="1" stopIfTrue="1">
      <formula>#REF!&lt;&gt;""</formula>
    </cfRule>
  </conditionalFormatting>
  <conditionalFormatting sqref="A41">
    <cfRule type="expression" dxfId="5" priority="4" stopIfTrue="1">
      <formula>#REF!&lt;&gt;""</formula>
    </cfRule>
  </conditionalFormatting>
  <conditionalFormatting sqref="A43">
    <cfRule type="expression" dxfId="4" priority="8" stopIfTrue="1">
      <formula>#REF!&lt;&gt;""</formula>
    </cfRule>
  </conditionalFormatting>
  <conditionalFormatting sqref="C2:D49">
    <cfRule type="expression" dxfId="3" priority="17" stopIfTrue="1">
      <formula>#REF!&lt;&gt;""</formula>
    </cfRule>
  </conditionalFormatting>
  <conditionalFormatting sqref="E2:F49">
    <cfRule type="expression" dxfId="2" priority="15" stopIfTrue="1">
      <formula>#REF!&lt;&gt;""</formula>
    </cfRule>
    <cfRule type="expression" dxfId="1" priority="16" stopIfTrue="1">
      <formula>#REF!&lt;&gt;""</formula>
    </cfRule>
  </conditionalFormatting>
  <conditionalFormatting sqref="G2:H49">
    <cfRule type="expression" dxfId="0" priority="14" stopIfTrue="1">
      <formula>#REF!&lt;&gt;""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DAVALOS</dc:creator>
  <cp:lastModifiedBy>FERNANDO DAVALOS</cp:lastModifiedBy>
  <dcterms:created xsi:type="dcterms:W3CDTF">2026-01-01T00:19:39Z</dcterms:created>
  <dcterms:modified xsi:type="dcterms:W3CDTF">2026-01-12T21:20:56Z</dcterms:modified>
</cp:coreProperties>
</file>