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 ANTIGRAVITY/graduacion/"/>
    </mc:Choice>
  </mc:AlternateContent>
  <xr:revisionPtr revIDLastSave="0" documentId="13_ncr:1_{405F67CF-45E1-3346-83CF-7F90BD9FF5CB}" xr6:coauthVersionLast="47" xr6:coauthVersionMax="47" xr10:uidLastSave="{00000000-0000-0000-0000-000000000000}"/>
  <bookViews>
    <workbookView xWindow="4340" yWindow="500" windowWidth="24460" windowHeight="16140" xr2:uid="{0C5D4335-B98D-8C4A-B531-C3D387BAD2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I10" i="1"/>
  <c r="I3" i="1"/>
  <c r="I4" i="1"/>
  <c r="I5" i="1"/>
  <c r="I6" i="1"/>
  <c r="I7" i="1"/>
  <c r="I8" i="1"/>
  <c r="I9" i="1"/>
  <c r="I11" i="1"/>
  <c r="I12" i="1"/>
  <c r="J7" i="1"/>
  <c r="J11" i="1"/>
  <c r="J12" i="1" l="1"/>
  <c r="J10" i="1"/>
  <c r="J9" i="1"/>
  <c r="J8" i="1"/>
  <c r="J6" i="1"/>
  <c r="J5" i="1"/>
  <c r="J4" i="1"/>
  <c r="J3" i="1"/>
  <c r="C3" i="1"/>
  <c r="C4" i="1" s="1"/>
  <c r="C5" i="1" s="1"/>
  <c r="C6" i="1" s="1"/>
  <c r="C7" i="1" s="1"/>
  <c r="C8" i="1" s="1"/>
  <c r="C9" i="1" s="1"/>
  <c r="C10" i="1" s="1"/>
  <c r="C11" i="1" s="1"/>
  <c r="C12" i="1" s="1"/>
</calcChain>
</file>

<file path=xl/sharedStrings.xml><?xml version="1.0" encoding="utf-8"?>
<sst xmlns="http://schemas.openxmlformats.org/spreadsheetml/2006/main" count="21" uniqueCount="21">
  <si>
    <t>Asesor</t>
  </si>
  <si>
    <t>Clave</t>
  </si>
  <si>
    <t>Fecha_Corte</t>
  </si>
  <si>
    <t>Fecha_Conexion</t>
  </si>
  <si>
    <t>Mes_Asesor</t>
  </si>
  <si>
    <t>Polizas_Totales</t>
  </si>
  <si>
    <t>ADRIANA ALEJANDRA JOYA MARTINEZ</t>
  </si>
  <si>
    <t>VELIA PATRICIA BERNAL RAMOS</t>
  </si>
  <si>
    <t>CLAUDIA VALERIA HERNANDEZ MACIAS</t>
  </si>
  <si>
    <t>BRUNO BRAULIO MACIAS ALVAREZ</t>
  </si>
  <si>
    <t>ANA VERONICA GONZALEZ GAYTAN</t>
  </si>
  <si>
    <t>HANA SOFIA LOPEZ QUIÐONEZ</t>
  </si>
  <si>
    <t>MARIA JOSE GUZMAN ZAMORA</t>
  </si>
  <si>
    <t>LUVIA PATRICIA FIGUEROA CASTRO</t>
  </si>
  <si>
    <t>LINDA TANIA MIROSLAVA ENRIQUEZ PRECIADO</t>
  </si>
  <si>
    <t>ANA LAURA CONTRERAS IÐIGUEZ</t>
  </si>
  <si>
    <t>Limite_Logro_Meta</t>
  </si>
  <si>
    <t>Comisones</t>
  </si>
  <si>
    <t>Graduacion_Honores_Meta2</t>
  </si>
  <si>
    <t>Graduacion_Normal_Meta</t>
  </si>
  <si>
    <t>LAURA DOLORES MONTAÐO MONTAÐO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</si>
</sst>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10"/>
      <color indexed="8"/>
      <name val="Helvetica Neue"/>
      <family val="2"/>
    </font>
    <font>
      <sz val="14"/>
      <color rgb="FF000000"/>
      <name val="-webkit-standard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Protection="0">
      <alignment vertical="top" wrapText="1"/>
    </xf>
  </cellStyleXfs>
  <cellXfs count="1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14" fontId="3" fillId="0" borderId="4" xfId="0" applyNumberFormat="1" applyFont="1" applyBorder="1" applyAlignment="1" applyProtection="1">
      <alignment horizontal="center"/>
      <protection locked="0"/>
    </xf>
    <xf numFmtId="14" fontId="4" fillId="0" borderId="0" xfId="2" applyNumberFormat="1" applyAlignment="1">
      <alignment horizontal="center"/>
    </xf>
    <xf numFmtId="1" fontId="3" fillId="0" borderId="4" xfId="0" applyNumberFormat="1" applyFont="1" applyBorder="1" applyAlignment="1" applyProtection="1">
      <alignment horizontal="center"/>
      <protection locked="0"/>
    </xf>
    <xf numFmtId="164" fontId="4" fillId="0" borderId="0" xfId="2" applyNumberFormat="1" applyAlignment="1">
      <alignment horizontal="center"/>
    </xf>
    <xf numFmtId="0" fontId="5" fillId="0" borderId="0" xfId="0" applyFont="1"/>
    <xf numFmtId="2" fontId="3" fillId="0" borderId="4" xfId="1" applyNumberFormat="1" applyFont="1" applyFill="1" applyBorder="1" applyAlignment="1" applyProtection="1">
      <alignment horizontal="center"/>
      <protection locked="0"/>
    </xf>
    <xf numFmtId="0" fontId="6" fillId="2" borderId="3" xfId="0" applyFont="1" applyFill="1" applyBorder="1"/>
    <xf numFmtId="14" fontId="3" fillId="0" borderId="0" xfId="0" applyNumberFormat="1" applyFont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Normal 2" xfId="2" xr:uid="{C87DCEC9-ADF3-6542-B74B-C24B313C8FAD}"/>
  </cellStyles>
  <dxfs count="22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0D2C2-F6BF-4347-BB55-EBFD27355781}" name="Tabla1354" displayName="Tabla1354" ref="A1:J12" totalsRowShown="0" headerRowDxfId="21" dataDxfId="19" headerRowBorderDxfId="20" tableBorderDxfId="18" totalsRowBorderDxfId="17">
  <autoFilter ref="A1:J12" xr:uid="{2570D2C2-F6BF-4347-BB55-EBFD27355781}"/>
  <sortState xmlns:xlrd2="http://schemas.microsoft.com/office/spreadsheetml/2017/richdata2" ref="A2:J39">
    <sortCondition descending="1" ref="G1:G39"/>
  </sortState>
  <tableColumns count="10">
    <tableColumn id="1" xr3:uid="{72D2009D-BA75-E148-8682-2CD934C4D1BE}" name="Asesor" dataDxfId="16"/>
    <tableColumn id="8" xr3:uid="{35DD6B16-4E84-0448-85A9-56D3433EDF67}" name="Clave" dataDxfId="15"/>
    <tableColumn id="7" xr3:uid="{8F8305CB-1285-C147-ADDD-A512A6CC9A0B}" name="Fecha_Corte" dataDxfId="14"/>
    <tableColumn id="15" xr3:uid="{50AAE96A-6C15-DB42-BCCE-788EAB50B551}" name="Fecha_Conexion" dataDxfId="13" dataCellStyle="Normal 2"/>
    <tableColumn id="9" xr3:uid="{2998FCE7-2422-D047-9271-F37CB1C4A052}" name="Mes_Asesor" dataDxfId="12"/>
    <tableColumn id="19" xr3:uid="{98768849-7A15-E14B-A8ED-0472730EA7A6}" name="Limite_Logro_Meta" dataDxfId="11"/>
    <tableColumn id="6" xr3:uid="{5D22C7F2-A579-764D-8813-0D801782E76F}" name="Polizas_Totales" dataDxfId="10" dataCellStyle="Millares"/>
    <tableColumn id="20" xr3:uid="{8A955D7D-7E9A-3D49-ACF3-1A3C07AB478A}" name="Comisones" dataDxfId="9" dataCellStyle="Normal 2"/>
    <tableColumn id="21" xr3:uid="{0AFD8F35-E459-8743-8B6F-B29DC25FDA12}" name="Graduacion_Normal_Meta" dataDxfId="8" dataCellStyle="Millares">
      <calculatedColumnFormula>IF(Tabla1354[[#This Row],[Polizas_Totales]]&gt;=(Tabla1354[[#This Row],[Mes_Asesor]]*3),"EN META","POR DEBAJO")</calculatedColumnFormula>
    </tableColumn>
    <tableColumn id="3" xr3:uid="{6DD8D07D-9625-804F-89B3-D20881604EDA}" name="Graduacion_Honores_Meta2" dataDxfId="7" dataCellStyle="Millares">
      <calculatedColumnFormula>IF(G2&gt;=(E2*4),"EN META","POR DEBAJO")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F557-8EC8-CD40-9C10-648C71E32AFF}">
  <dimension ref="A1:J12"/>
  <sheetViews>
    <sheetView tabSelected="1" zoomScale="150" workbookViewId="0">
      <selection activeCell="J9" sqref="J9"/>
    </sheetView>
  </sheetViews>
  <sheetFormatPr baseColWidth="10" defaultRowHeight="16"/>
  <cols>
    <col min="1" max="1" width="39.5" bestFit="1" customWidth="1"/>
    <col min="3" max="3" width="13.6640625" bestFit="1" customWidth="1"/>
    <col min="4" max="4" width="16.83203125" bestFit="1" customWidth="1"/>
    <col min="5" max="5" width="13.1640625" bestFit="1" customWidth="1"/>
    <col min="6" max="6" width="24.6640625" bestFit="1" customWidth="1"/>
    <col min="7" max="7" width="18.33203125" bestFit="1" customWidth="1"/>
    <col min="8" max="9" width="18.33203125" customWidth="1"/>
    <col min="10" max="10" width="25.33203125" bestFit="1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</v>
      </c>
      <c r="G1" s="3" t="s">
        <v>5</v>
      </c>
      <c r="H1" s="3" t="s">
        <v>17</v>
      </c>
      <c r="I1" s="2" t="s">
        <v>19</v>
      </c>
      <c r="J1" s="2" t="s">
        <v>18</v>
      </c>
    </row>
    <row r="2" spans="1:10" ht="18">
      <c r="A2" s="4" t="s">
        <v>8</v>
      </c>
      <c r="B2" s="5">
        <v>111960</v>
      </c>
      <c r="C2" s="6">
        <v>46022</v>
      </c>
      <c r="D2" s="7">
        <v>45707</v>
      </c>
      <c r="E2" s="8">
        <v>11</v>
      </c>
      <c r="F2" s="13">
        <v>46023</v>
      </c>
      <c r="G2" s="9">
        <v>9.5</v>
      </c>
      <c r="H2" s="9">
        <v>94809.82</v>
      </c>
      <c r="I2" s="10" t="str">
        <f>IF(Tabla1354[[#This Row],[Polizas_Totales]]&gt;=(Tabla1354[[#This Row],[Mes_Asesor]]*3),"EN META","POR DEBAJO")</f>
        <v>POR DEBAJO</v>
      </c>
      <c r="J2" s="10" t="str">
        <f t="shared" ref="J2:J12" si="0">IF(G2&gt;=(E2*4),"EN META","POR DEBAJO")</f>
        <v>POR DEBAJO</v>
      </c>
    </row>
    <row r="3" spans="1:10">
      <c r="A3" s="4" t="s">
        <v>20</v>
      </c>
      <c r="B3" s="5">
        <v>112522</v>
      </c>
      <c r="C3" s="6">
        <f>C2</f>
        <v>46022</v>
      </c>
      <c r="D3" s="7">
        <v>45776</v>
      </c>
      <c r="E3" s="8">
        <v>9</v>
      </c>
      <c r="F3" s="13">
        <v>46082</v>
      </c>
      <c r="G3" s="9">
        <v>6</v>
      </c>
      <c r="H3" s="9">
        <v>42633.02</v>
      </c>
      <c r="I3" s="11" t="str">
        <f>IF(Tabla1354[[#This Row],[Polizas_Totales]]&gt;=(Tabla1354[[#This Row],[Mes_Asesor]]*3),"EN META","POR DEBAJO")</f>
        <v>POR DEBAJO</v>
      </c>
      <c r="J3" s="11" t="str">
        <f t="shared" si="0"/>
        <v>POR DEBAJO</v>
      </c>
    </row>
    <row r="4" spans="1:10">
      <c r="A4" s="12" t="s">
        <v>9</v>
      </c>
      <c r="B4" s="5">
        <v>113076</v>
      </c>
      <c r="C4" s="6">
        <f t="shared" ref="C4:C12" si="1">C3</f>
        <v>46022</v>
      </c>
      <c r="D4" s="7">
        <v>45806</v>
      </c>
      <c r="E4" s="8">
        <v>8</v>
      </c>
      <c r="F4" s="13">
        <v>46113</v>
      </c>
      <c r="G4" s="9">
        <v>10.5</v>
      </c>
      <c r="H4" s="9">
        <v>93540.73</v>
      </c>
      <c r="I4" s="11" t="str">
        <f>IF(Tabla1354[[#This Row],[Polizas_Totales]]&gt;=(Tabla1354[[#This Row],[Mes_Asesor]]*3),"EN META","POR DEBAJO")</f>
        <v>POR DEBAJO</v>
      </c>
      <c r="J4" s="11" t="str">
        <f t="shared" si="0"/>
        <v>POR DEBAJO</v>
      </c>
    </row>
    <row r="5" spans="1:10">
      <c r="A5" s="4" t="s">
        <v>6</v>
      </c>
      <c r="B5" s="5">
        <v>114100</v>
      </c>
      <c r="C5" s="6">
        <f t="shared" si="1"/>
        <v>46022</v>
      </c>
      <c r="D5" s="7">
        <v>45863</v>
      </c>
      <c r="E5" s="8">
        <v>6</v>
      </c>
      <c r="F5" s="13">
        <v>46174</v>
      </c>
      <c r="G5" s="9">
        <v>12.5</v>
      </c>
      <c r="H5" s="9">
        <v>56814.33</v>
      </c>
      <c r="I5" s="11" t="str">
        <f>IF(Tabla1354[[#This Row],[Polizas_Totales]]&gt;=(Tabla1354[[#This Row],[Mes_Asesor]]*3),"EN META","POR DEBAJO")</f>
        <v>POR DEBAJO</v>
      </c>
      <c r="J5" s="11" t="str">
        <f t="shared" si="0"/>
        <v>POR DEBAJO</v>
      </c>
    </row>
    <row r="6" spans="1:10">
      <c r="A6" s="4" t="s">
        <v>15</v>
      </c>
      <c r="B6" s="5">
        <v>113450</v>
      </c>
      <c r="C6" s="6">
        <f t="shared" si="1"/>
        <v>46022</v>
      </c>
      <c r="D6" s="7">
        <v>45852</v>
      </c>
      <c r="E6" s="8">
        <v>6</v>
      </c>
      <c r="F6" s="13">
        <v>46174</v>
      </c>
      <c r="G6" s="9">
        <v>10.5</v>
      </c>
      <c r="H6" s="9">
        <v>76489.83</v>
      </c>
      <c r="I6" s="11" t="str">
        <f>IF(Tabla1354[[#This Row],[Polizas_Totales]]&gt;=(Tabla1354[[#This Row],[Mes_Asesor]]*3),"EN META","POR DEBAJO")</f>
        <v>POR DEBAJO</v>
      </c>
      <c r="J6" s="11" t="str">
        <f t="shared" si="0"/>
        <v>POR DEBAJO</v>
      </c>
    </row>
    <row r="7" spans="1:10">
      <c r="A7" s="4" t="s">
        <v>12</v>
      </c>
      <c r="B7" s="5">
        <v>114431</v>
      </c>
      <c r="C7" s="6">
        <f t="shared" si="1"/>
        <v>46022</v>
      </c>
      <c r="D7" s="7">
        <v>45930</v>
      </c>
      <c r="E7" s="8">
        <v>4</v>
      </c>
      <c r="F7" s="13">
        <v>46235</v>
      </c>
      <c r="G7" s="9">
        <v>6.5</v>
      </c>
      <c r="H7" s="9">
        <v>18960.439999999999</v>
      </c>
      <c r="I7" s="11" t="str">
        <f>IF(Tabla1354[[#This Row],[Polizas_Totales]]&gt;=(Tabla1354[[#This Row],[Mes_Asesor]]*3),"EN META","POR DEBAJO")</f>
        <v>POR DEBAJO</v>
      </c>
      <c r="J7" s="11" t="str">
        <f t="shared" si="0"/>
        <v>POR DEBAJO</v>
      </c>
    </row>
    <row r="8" spans="1:10">
      <c r="A8" s="4" t="s">
        <v>11</v>
      </c>
      <c r="B8" s="5">
        <v>114157</v>
      </c>
      <c r="C8" s="6">
        <f t="shared" si="1"/>
        <v>46022</v>
      </c>
      <c r="D8" s="7">
        <v>45904</v>
      </c>
      <c r="E8" s="8">
        <v>4</v>
      </c>
      <c r="F8" s="13">
        <v>46235</v>
      </c>
      <c r="G8" s="9">
        <v>7</v>
      </c>
      <c r="H8" s="9">
        <v>28759.66</v>
      </c>
      <c r="I8" s="11" t="str">
        <f>IF(Tabla1354[[#This Row],[Polizas_Totales]]&gt;=(Tabla1354[[#This Row],[Mes_Asesor]]*3),"EN META","POR DEBAJO")</f>
        <v>POR DEBAJO</v>
      </c>
      <c r="J8" s="11" t="str">
        <f t="shared" si="0"/>
        <v>POR DEBAJO</v>
      </c>
    </row>
    <row r="9" spans="1:10">
      <c r="A9" s="12" t="s">
        <v>7</v>
      </c>
      <c r="B9" s="5">
        <v>115047</v>
      </c>
      <c r="C9" s="6">
        <f t="shared" si="1"/>
        <v>46022</v>
      </c>
      <c r="D9" s="7">
        <v>45944</v>
      </c>
      <c r="E9" s="8">
        <v>3</v>
      </c>
      <c r="F9" s="13">
        <v>46266</v>
      </c>
      <c r="G9" s="9">
        <v>12</v>
      </c>
      <c r="H9" s="9">
        <v>55997.8</v>
      </c>
      <c r="I9" s="11" t="str">
        <f>IF(Tabla1354[[#This Row],[Polizas_Totales]]&gt;=(Tabla1354[[#This Row],[Mes_Asesor]]*3),"EN META","POR DEBAJO")</f>
        <v>EN META</v>
      </c>
      <c r="J9" s="11" t="str">
        <f t="shared" si="0"/>
        <v>EN META</v>
      </c>
    </row>
    <row r="10" spans="1:10">
      <c r="A10" s="4" t="s">
        <v>14</v>
      </c>
      <c r="B10" s="5">
        <v>114664</v>
      </c>
      <c r="C10" s="6">
        <f t="shared" si="1"/>
        <v>46022</v>
      </c>
      <c r="D10" s="7">
        <v>45950</v>
      </c>
      <c r="E10" s="8">
        <v>3</v>
      </c>
      <c r="F10" s="13">
        <v>46266</v>
      </c>
      <c r="G10" s="9">
        <v>4</v>
      </c>
      <c r="H10" s="9">
        <v>22297.5</v>
      </c>
      <c r="I10" s="11" t="str">
        <f>IF(Tabla1354[[#This Row],[Polizas_Totales]]&gt;=(Tabla1354[[#This Row],[Mes_Asesor]]*3),"EN META","POR DEBAJO")</f>
        <v>POR DEBAJO</v>
      </c>
      <c r="J10" s="11" t="str">
        <f t="shared" si="0"/>
        <v>POR DEBAJO</v>
      </c>
    </row>
    <row r="11" spans="1:10">
      <c r="A11" s="4" t="s">
        <v>10</v>
      </c>
      <c r="B11" s="5">
        <v>115404</v>
      </c>
      <c r="C11" s="6">
        <f t="shared" si="1"/>
        <v>46022</v>
      </c>
      <c r="D11" s="7">
        <v>45986</v>
      </c>
      <c r="E11" s="8">
        <v>2</v>
      </c>
      <c r="F11" s="13">
        <v>46296</v>
      </c>
      <c r="G11" s="9">
        <v>9</v>
      </c>
      <c r="H11" s="9">
        <v>47808.2</v>
      </c>
      <c r="I11" s="11" t="str">
        <f>IF(Tabla1354[[#This Row],[Polizas_Totales]]&gt;=(Tabla1354[[#This Row],[Mes_Asesor]]*3),"EN META","POR DEBAJO")</f>
        <v>EN META</v>
      </c>
      <c r="J11" s="11" t="str">
        <f t="shared" si="0"/>
        <v>EN META</v>
      </c>
    </row>
    <row r="12" spans="1:10">
      <c r="A12" s="4" t="s">
        <v>13</v>
      </c>
      <c r="B12" s="5">
        <v>116060</v>
      </c>
      <c r="C12" s="6">
        <f t="shared" si="1"/>
        <v>46022</v>
      </c>
      <c r="D12" s="7">
        <v>46010</v>
      </c>
      <c r="E12" s="8">
        <v>1</v>
      </c>
      <c r="F12" s="13">
        <v>46327</v>
      </c>
      <c r="G12" s="9">
        <v>6</v>
      </c>
      <c r="H12" s="9">
        <v>14674.8</v>
      </c>
      <c r="I12" s="11" t="str">
        <f>IF(Tabla1354[[#This Row],[Polizas_Totales]]&gt;=(Tabla1354[[#This Row],[Mes_Asesor]]*3),"EN META","POR DEBAJO")</f>
        <v>EN META</v>
      </c>
      <c r="J12" s="11" t="str">
        <f t="shared" si="0"/>
        <v>EN META</v>
      </c>
    </row>
  </sheetData>
  <conditionalFormatting sqref="C2:C12 E2:F12">
    <cfRule type="expression" dxfId="6" priority="11" stopIfTrue="1">
      <formula>#REF!&lt;&gt;""</formula>
    </cfRule>
  </conditionalFormatting>
  <conditionalFormatting sqref="D2:D12">
    <cfRule type="expression" dxfId="5" priority="8" stopIfTrue="1">
      <formula>$B2&lt;&gt;""</formula>
    </cfRule>
  </conditionalFormatting>
  <conditionalFormatting sqref="G2:H12">
    <cfRule type="expression" dxfId="4" priority="7" stopIfTrue="1">
      <formula>$B2&lt;&gt;""</formula>
    </cfRule>
  </conditionalFormatting>
  <conditionalFormatting sqref="I3:I12">
    <cfRule type="expression" dxfId="3" priority="1" stopIfTrue="1">
      <formula>#REF!&lt;&gt;""</formula>
    </cfRule>
    <cfRule type="expression" dxfId="2" priority="2" stopIfTrue="1">
      <formula>#REF!&lt;&gt;""</formula>
    </cfRule>
  </conditionalFormatting>
  <conditionalFormatting sqref="J3:J12">
    <cfRule type="expression" dxfId="1" priority="9" stopIfTrue="1">
      <formula>#REF!&lt;&gt;""</formula>
    </cfRule>
    <cfRule type="expression" dxfId="0" priority="10" stopIfTrue="1">
      <formula>#REF!&lt;&gt;""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2026-01-02T19:40:22Z</dcterms:created>
  <dcterms:modified xsi:type="dcterms:W3CDTF">2026-01-14T18:41:20Z</dcterms:modified>
</cp:coreProperties>
</file>