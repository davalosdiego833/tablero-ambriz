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 ANTIGRAVITY/mdrt/"/>
    </mc:Choice>
  </mc:AlternateContent>
  <xr:revisionPtr revIDLastSave="0" documentId="13_ncr:1_{499A9365-2DB4-4A4E-AD00-B73E2742296B}" xr6:coauthVersionLast="47" xr6:coauthVersionMax="47" xr10:uidLastSave="{00000000-0000-0000-0000-000000000000}"/>
  <bookViews>
    <workbookView xWindow="4340" yWindow="500" windowWidth="24460" windowHeight="16140" xr2:uid="{B49CA26D-17E4-1041-9F6C-DBD86CE9F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</calcChain>
</file>

<file path=xl/sharedStrings.xml><?xml version="1.0" encoding="utf-8"?>
<sst xmlns="http://schemas.openxmlformats.org/spreadsheetml/2006/main" count="57" uniqueCount="57">
  <si>
    <t>MONICA ANDREA AMBRIZ GOMEZ</t>
  </si>
  <si>
    <t>DESIREE DE LA PEÐA OROZCO</t>
  </si>
  <si>
    <t>DARINKA UREÐA CASILLAS</t>
  </si>
  <si>
    <t>ORLANDA JIMENA CERVANTES NUÐEZ</t>
  </si>
  <si>
    <t>LILIANA IVETTE CASTILLO SANCHEZ</t>
  </si>
  <si>
    <t>ANAIS LUA MORENO</t>
  </si>
  <si>
    <t>CLAUDIA VALERIA HERNANDEZ MACIAS</t>
  </si>
  <si>
    <t>SAMUEL NUÐO RIVERA</t>
  </si>
  <si>
    <t>PAULINA LIZBETH SOTO MUÐIZ</t>
  </si>
  <si>
    <t>RAFAEL ALBERTO SUAREZ BAQUEDANO</t>
  </si>
  <si>
    <t>JORGE ALBERTO PRECIADO GONZALEZ</t>
  </si>
  <si>
    <t>ROGELIO TORRES ORTIZ</t>
  </si>
  <si>
    <t>MARIA ELIZABETH LLAMAS LOPEZ</t>
  </si>
  <si>
    <t>LUIS GUILLERMO OLGUIN FERNANDEZ</t>
  </si>
  <si>
    <t>MIRIAM ROCIO LOMELI CHAVEZ</t>
  </si>
  <si>
    <t>MIREYA LIZETTE TORRES GARCIA</t>
  </si>
  <si>
    <t>GABRIELA CASTAÐEDA SALAZAR</t>
  </si>
  <si>
    <t>ROCIO IVON RUIZ GARCIA</t>
  </si>
  <si>
    <t>MARICELA ARREOLA LOPEZ</t>
  </si>
  <si>
    <t>JULIANA RIASCOS VALENCIA</t>
  </si>
  <si>
    <t>ENRIQUE ADRIAN GUTIERREZ JIMENEZ</t>
  </si>
  <si>
    <t>ISAI ANTONIO ROJAS MARTINEZ</t>
  </si>
  <si>
    <t>JORGE ANTONIO LUNA LARA</t>
  </si>
  <si>
    <t>MARIA FERNANDA CARLOS VAZQUEZ</t>
  </si>
  <si>
    <t>ANDREA CELESTE IBAÐEZ RINCON</t>
  </si>
  <si>
    <t>ROCIO YANETH OCHOA IBARRA</t>
  </si>
  <si>
    <t>KAREN MUÐOZ GARCIA</t>
  </si>
  <si>
    <t>PAULINA RODRIGUEZ DE LA MORA</t>
  </si>
  <si>
    <t>EVELYN CAROLINA VENEGAS IÐIGUEZ</t>
  </si>
  <si>
    <t>MARIA TERESA ASENCIO LOZANO</t>
  </si>
  <si>
    <t>JOSE RENE DE ALBA MORALES</t>
  </si>
  <si>
    <t>ALEJANDRA GABRIELA AMBRIZ GOMEZ</t>
  </si>
  <si>
    <t>MARIO ALFONSO SARMIENTO OROZCO</t>
  </si>
  <si>
    <t>JOSE EDUARDO EZQUERRO BARQUERA</t>
  </si>
  <si>
    <t>FERNANDO JAVIER DAVALOS FLORES</t>
  </si>
  <si>
    <t>MARIA FERNANDA RIOS BERNAL</t>
  </si>
  <si>
    <t>ALEJANDRA IVETTE PEDROZA MACIAS</t>
  </si>
  <si>
    <t>TIARE DE LA CRUZ DZIB CABRERA</t>
  </si>
  <si>
    <t>JOCELYN URIBE VARGAS</t>
  </si>
  <si>
    <t>Asesor</t>
  </si>
  <si>
    <t>Fecha_Corte</t>
  </si>
  <si>
    <t>Mes_Actual</t>
  </si>
  <si>
    <t>PA_Acumulada</t>
  </si>
  <si>
    <t>Porcentaje_Vida</t>
  </si>
  <si>
    <t>PA_Faltante_Miembro</t>
  </si>
  <si>
    <t>Clave</t>
  </si>
  <si>
    <t>ANA LAURA CONTRERAS IÐIGUEZ</t>
  </si>
  <si>
    <t>BRUNO BRAULIO MACIAS ALVAREZ</t>
  </si>
  <si>
    <t>VELIA PATRICIA BERNAL RAMOS</t>
  </si>
  <si>
    <t>ADRIANA ALEJANDRA JOYA MARTINEZ</t>
  </si>
  <si>
    <t>HANA SOFIA LOPEZ QUIÐONEZ</t>
  </si>
  <si>
    <t>ANA VERONICA GONZALEZ GAYTAN</t>
  </si>
  <si>
    <t>LAURA DOLORES MONTAÐO MONTAÐO</t>
  </si>
  <si>
    <t>MARIA JOSE GUZMAN ZAMORA</t>
  </si>
  <si>
    <t>LUVIA PATRICIA FIGUEROA CASTRO</t>
  </si>
  <si>
    <t>JOSE ALBERTO CORONADO ROSAS</t>
  </si>
  <si>
    <t>LINDA TANIA MIROSLAVA ENRIQUEZ PRECIADO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</si>
</sst>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1" applyNumberFormat="1" applyFont="1" applyFill="1" applyBorder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Protection="1">
      <protection locked="0"/>
    </xf>
    <xf numFmtId="3" fontId="3" fillId="0" borderId="4" xfId="0" applyNumberFormat="1" applyFont="1" applyBorder="1"/>
    <xf numFmtId="0" fontId="5" fillId="0" borderId="5" xfId="0" applyFont="1" applyBorder="1" applyAlignment="1" applyProtection="1">
      <alignment horizontal="left" vertical="center"/>
      <protection locked="0"/>
    </xf>
    <xf numFmtId="164" fontId="5" fillId="0" borderId="5" xfId="1" applyNumberFormat="1" applyFont="1" applyFill="1" applyBorder="1" applyAlignment="1" applyProtection="1">
      <alignment horizontal="center"/>
      <protection locked="0"/>
    </xf>
    <xf numFmtId="3" fontId="6" fillId="0" borderId="6" xfId="0" applyNumberFormat="1" applyFont="1" applyBorder="1" applyAlignment="1">
      <alignment horizontal="center" vertical="center"/>
    </xf>
    <xf numFmtId="1" fontId="2" fillId="0" borderId="0" xfId="0" applyNumberFormat="1" applyFont="1" applyAlignment="1" applyProtection="1">
      <alignment horizontal="center"/>
      <protection locked="0"/>
    </xf>
    <xf numFmtId="165" fontId="2" fillId="0" borderId="0" xfId="2" applyNumberFormat="1" applyFont="1" applyFill="1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Porcentaje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505050"/>
        </top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FDF5-0096-7641-98E2-79A7C2A6467A}" name="Tabla1354" displayName="Tabla1354" ref="A1:G51" totalsRowShown="0" headerRowDxfId="17" dataDxfId="15" headerRowBorderDxfId="16" tableBorderDxfId="14" totalsRowBorderDxfId="13">
  <autoFilter ref="A1:G51" xr:uid="{E315FDF5-0096-7641-98E2-79A7C2A6467A}"/>
  <sortState xmlns:xlrd2="http://schemas.microsoft.com/office/spreadsheetml/2017/richdata2" ref="A2:G39">
    <sortCondition descending="1" ref="E1:E39"/>
  </sortState>
  <tableColumns count="7">
    <tableColumn id="1" xr3:uid="{2CA99AFE-1903-6D4B-93D9-DD22E72018C3}" name="Asesor" dataDxfId="12"/>
    <tableColumn id="8" xr3:uid="{8D0734FC-3769-4F41-9ECD-2C6FE21FFA0E}" name="Clave" dataDxfId="11"/>
    <tableColumn id="7" xr3:uid="{1247CE0F-8F5E-194F-AD79-C20593AA6B7C}" name="Fecha_Corte" dataDxfId="10"/>
    <tableColumn id="9" xr3:uid="{1B89683A-64AB-0646-9B15-2B5DA7E1CEEC}" name="Mes_Actual" dataDxfId="9"/>
    <tableColumn id="6" xr3:uid="{C4F1D3A5-1E56-8C40-9BD7-1C13F22F25C5}" name="PA_Acumulada" dataDxfId="8" dataCellStyle="Millares"/>
    <tableColumn id="2" xr3:uid="{C05A17F7-6BDD-0C40-A77A-7F7E195BCDDE}" name="Porcentaje_Vida" dataDxfId="7" dataCellStyle="Porcentaje"/>
    <tableColumn id="5" xr3:uid="{312E2988-4C52-5E40-BB07-41C4565E8822}" name="PA_Faltante_Miembro" dataDxfId="0">
      <calculatedColumnFormula>(1810400-Tabla1354[[#This Row],[PA_Acumulada]])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6BB-1DE5-9749-A828-31E7777A186B}">
  <dimension ref="A1:G51"/>
  <sheetViews>
    <sheetView tabSelected="1" topLeftCell="A13" zoomScale="75" workbookViewId="0">
      <selection activeCell="H36" sqref="H36"/>
    </sheetView>
  </sheetViews>
  <sheetFormatPr baseColWidth="10" defaultRowHeight="16" x14ac:dyDescent="0.2"/>
  <cols>
    <col min="1" max="1" width="30.83203125" bestFit="1" customWidth="1"/>
    <col min="3" max="3" width="15" customWidth="1"/>
    <col min="4" max="5" width="15.83203125" customWidth="1"/>
    <col min="6" max="6" width="18.6640625" customWidth="1"/>
    <col min="7" max="7" width="19.83203125" customWidth="1"/>
  </cols>
  <sheetData>
    <row r="1" spans="1:7" x14ac:dyDescent="0.2">
      <c r="A1" s="5" t="s">
        <v>39</v>
      </c>
      <c r="B1" s="6" t="s">
        <v>45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</row>
    <row r="2" spans="1:7" x14ac:dyDescent="0.2">
      <c r="A2" s="7" t="s">
        <v>0</v>
      </c>
      <c r="B2" s="12">
        <v>87538</v>
      </c>
      <c r="C2" s="2">
        <v>46022</v>
      </c>
      <c r="D2" s="1">
        <v>12</v>
      </c>
      <c r="E2" s="3">
        <v>4468419.0199999996</v>
      </c>
      <c r="F2" s="13">
        <v>1.9914000000000001</v>
      </c>
      <c r="G2" s="8">
        <f>(1810400-Tabla1354[[#This Row],[PA_Acumulada]])</f>
        <v>-2658019.0199999996</v>
      </c>
    </row>
    <row r="3" spans="1:7" x14ac:dyDescent="0.2">
      <c r="A3" s="7" t="s">
        <v>1</v>
      </c>
      <c r="B3" s="12">
        <v>80122</v>
      </c>
      <c r="C3" s="2">
        <f>C2</f>
        <v>46022</v>
      </c>
      <c r="D3" s="1">
        <v>12</v>
      </c>
      <c r="E3" s="3">
        <v>2062641.64</v>
      </c>
      <c r="F3" s="13">
        <v>1.1111</v>
      </c>
      <c r="G3" s="8">
        <f>(1810400-Tabla1354[[#This Row],[PA_Acumulada]])</f>
        <v>-252241.6399999999</v>
      </c>
    </row>
    <row r="4" spans="1:7" x14ac:dyDescent="0.2">
      <c r="A4" s="7" t="s">
        <v>20</v>
      </c>
      <c r="B4" s="12">
        <v>95148</v>
      </c>
      <c r="C4" s="2">
        <f t="shared" ref="C4:C51" si="0">C3</f>
        <v>46022</v>
      </c>
      <c r="D4" s="1">
        <v>12</v>
      </c>
      <c r="E4" s="3">
        <v>1600189.95</v>
      </c>
      <c r="F4" s="13">
        <v>0.84589999999999999</v>
      </c>
      <c r="G4" s="8">
        <f>(1810400-Tabla1354[[#This Row],[PA_Acumulada]])</f>
        <v>210210.05000000005</v>
      </c>
    </row>
    <row r="5" spans="1:7" x14ac:dyDescent="0.2">
      <c r="A5" s="7" t="s">
        <v>9</v>
      </c>
      <c r="B5" s="12">
        <v>47116</v>
      </c>
      <c r="C5" s="2">
        <f t="shared" si="0"/>
        <v>46022</v>
      </c>
      <c r="D5" s="1">
        <v>12</v>
      </c>
      <c r="E5" s="3">
        <v>1499285.01</v>
      </c>
      <c r="F5" s="13">
        <v>0.59909999999999997</v>
      </c>
      <c r="G5" s="8">
        <f>(1810400-Tabla1354[[#This Row],[PA_Acumulada]])</f>
        <v>311114.99</v>
      </c>
    </row>
    <row r="6" spans="1:7" x14ac:dyDescent="0.2">
      <c r="A6" s="7" t="s">
        <v>3</v>
      </c>
      <c r="B6" s="12">
        <v>107488</v>
      </c>
      <c r="C6" s="2">
        <f t="shared" si="0"/>
        <v>46022</v>
      </c>
      <c r="D6" s="1">
        <v>12</v>
      </c>
      <c r="E6" s="3">
        <v>1451507.78</v>
      </c>
      <c r="F6" s="13">
        <v>0.74990000000000001</v>
      </c>
      <c r="G6" s="8">
        <f>(1810400-Tabla1354[[#This Row],[PA_Acumulada]])</f>
        <v>358892.22</v>
      </c>
    </row>
    <row r="7" spans="1:7" x14ac:dyDescent="0.2">
      <c r="A7" s="7" t="s">
        <v>5</v>
      </c>
      <c r="B7" s="12">
        <v>110453</v>
      </c>
      <c r="C7" s="2">
        <f t="shared" si="0"/>
        <v>46022</v>
      </c>
      <c r="D7" s="1">
        <v>12</v>
      </c>
      <c r="E7" s="3">
        <v>1272351.1200000001</v>
      </c>
      <c r="F7" s="13">
        <v>0.55479999999999996</v>
      </c>
      <c r="G7" s="8">
        <f>(1810400-Tabla1354[[#This Row],[PA_Acumulada]])</f>
        <v>538048.87999999989</v>
      </c>
    </row>
    <row r="8" spans="1:7" x14ac:dyDescent="0.2">
      <c r="A8" s="7" t="s">
        <v>2</v>
      </c>
      <c r="B8" s="12">
        <v>90355</v>
      </c>
      <c r="C8" s="2">
        <f t="shared" si="0"/>
        <v>46022</v>
      </c>
      <c r="D8" s="1">
        <v>12</v>
      </c>
      <c r="E8" s="3">
        <v>1180365.72</v>
      </c>
      <c r="F8" s="13">
        <v>0.52900000000000003</v>
      </c>
      <c r="G8" s="8">
        <f>(1810400-Tabla1354[[#This Row],[PA_Acumulada]])</f>
        <v>630034.28</v>
      </c>
    </row>
    <row r="9" spans="1:7" x14ac:dyDescent="0.2">
      <c r="A9" s="7" t="s">
        <v>4</v>
      </c>
      <c r="B9" s="12">
        <v>108404</v>
      </c>
      <c r="C9" s="2">
        <f t="shared" si="0"/>
        <v>46022</v>
      </c>
      <c r="D9" s="1">
        <v>12</v>
      </c>
      <c r="E9" s="3">
        <v>803661.78</v>
      </c>
      <c r="F9" s="13">
        <v>0.3755</v>
      </c>
      <c r="G9" s="8">
        <f>(1810400-Tabla1354[[#This Row],[PA_Acumulada]])</f>
        <v>1006738.22</v>
      </c>
    </row>
    <row r="10" spans="1:7" x14ac:dyDescent="0.2">
      <c r="A10" s="7" t="s">
        <v>11</v>
      </c>
      <c r="B10" s="12">
        <v>104718</v>
      </c>
      <c r="C10" s="2">
        <f t="shared" si="0"/>
        <v>46022</v>
      </c>
      <c r="D10" s="1">
        <v>12</v>
      </c>
      <c r="E10" s="3">
        <v>768813.86</v>
      </c>
      <c r="F10" s="13">
        <v>0.36220000000000002</v>
      </c>
      <c r="G10" s="8">
        <f>(1810400-Tabla1354[[#This Row],[PA_Acumulada]])</f>
        <v>1041586.14</v>
      </c>
    </row>
    <row r="11" spans="1:7" x14ac:dyDescent="0.2">
      <c r="A11" s="7" t="s">
        <v>12</v>
      </c>
      <c r="B11" s="12">
        <v>108405</v>
      </c>
      <c r="C11" s="2">
        <f t="shared" si="0"/>
        <v>46022</v>
      </c>
      <c r="D11" s="1">
        <v>12</v>
      </c>
      <c r="E11" s="3">
        <v>665005.12</v>
      </c>
      <c r="F11" s="13">
        <v>0.3211</v>
      </c>
      <c r="G11" s="8">
        <f>(1810400-Tabla1354[[#This Row],[PA_Acumulada]])</f>
        <v>1145394.8799999999</v>
      </c>
    </row>
    <row r="12" spans="1:7" x14ac:dyDescent="0.2">
      <c r="A12" s="7" t="s">
        <v>30</v>
      </c>
      <c r="B12" s="12">
        <v>110575</v>
      </c>
      <c r="C12" s="2">
        <f t="shared" si="0"/>
        <v>46022</v>
      </c>
      <c r="D12" s="1">
        <v>12</v>
      </c>
      <c r="E12" s="3">
        <v>626887.43999999994</v>
      </c>
      <c r="F12" s="13">
        <v>0.35539999999999999</v>
      </c>
      <c r="G12" s="8">
        <f>(1810400-Tabla1354[[#This Row],[PA_Acumulada]])</f>
        <v>1183512.56</v>
      </c>
    </row>
    <row r="13" spans="1:7" x14ac:dyDescent="0.2">
      <c r="A13" s="7" t="s">
        <v>16</v>
      </c>
      <c r="B13" s="12">
        <v>105696</v>
      </c>
      <c r="C13" s="2">
        <f t="shared" si="0"/>
        <v>46022</v>
      </c>
      <c r="D13" s="1">
        <v>12</v>
      </c>
      <c r="E13" s="3">
        <v>487715.51</v>
      </c>
      <c r="F13" s="13">
        <v>0.20669999999999999</v>
      </c>
      <c r="G13" s="8">
        <f>(1810400-Tabla1354[[#This Row],[PA_Acumulada]])</f>
        <v>1322684.49</v>
      </c>
    </row>
    <row r="14" spans="1:7" x14ac:dyDescent="0.2">
      <c r="A14" s="7" t="s">
        <v>8</v>
      </c>
      <c r="B14" s="12">
        <v>104750</v>
      </c>
      <c r="C14" s="2">
        <f t="shared" si="0"/>
        <v>46022</v>
      </c>
      <c r="D14" s="1">
        <v>12</v>
      </c>
      <c r="E14" s="3">
        <v>485147.48</v>
      </c>
      <c r="F14" s="13">
        <v>0.22389999999999999</v>
      </c>
      <c r="G14" s="8">
        <f>(1810400-Tabla1354[[#This Row],[PA_Acumulada]])</f>
        <v>1325252.52</v>
      </c>
    </row>
    <row r="15" spans="1:7" x14ac:dyDescent="0.2">
      <c r="A15" s="7" t="s">
        <v>19</v>
      </c>
      <c r="B15" s="12">
        <v>100677</v>
      </c>
      <c r="C15" s="2">
        <f t="shared" si="0"/>
        <v>46022</v>
      </c>
      <c r="D15" s="1">
        <v>12</v>
      </c>
      <c r="E15" s="3">
        <v>484567.65</v>
      </c>
      <c r="F15" s="13">
        <v>0.21390000000000001</v>
      </c>
      <c r="G15" s="8">
        <f>(1810400-Tabla1354[[#This Row],[PA_Acumulada]])</f>
        <v>1325832.3500000001</v>
      </c>
    </row>
    <row r="16" spans="1:7" x14ac:dyDescent="0.2">
      <c r="A16" s="7" t="s">
        <v>18</v>
      </c>
      <c r="B16" s="12">
        <v>80925</v>
      </c>
      <c r="C16" s="2">
        <f t="shared" si="0"/>
        <v>46022</v>
      </c>
      <c r="D16" s="1">
        <v>12</v>
      </c>
      <c r="E16" s="3">
        <v>477935.47</v>
      </c>
      <c r="F16" s="13">
        <v>0.224</v>
      </c>
      <c r="G16" s="8">
        <f>(1810400-Tabla1354[[#This Row],[PA_Acumulada]])</f>
        <v>1332464.53</v>
      </c>
    </row>
    <row r="17" spans="1:7" x14ac:dyDescent="0.2">
      <c r="A17" s="7" t="s">
        <v>10</v>
      </c>
      <c r="B17" s="12">
        <v>104343</v>
      </c>
      <c r="C17" s="2">
        <f t="shared" si="0"/>
        <v>46022</v>
      </c>
      <c r="D17" s="1">
        <v>12</v>
      </c>
      <c r="E17" s="3">
        <v>459920.08</v>
      </c>
      <c r="F17" s="13">
        <v>0.22989999999999999</v>
      </c>
      <c r="G17" s="8">
        <f>(1810400-Tabla1354[[#This Row],[PA_Acumulada]])</f>
        <v>1350479.92</v>
      </c>
    </row>
    <row r="18" spans="1:7" x14ac:dyDescent="0.2">
      <c r="A18" s="7" t="s">
        <v>7</v>
      </c>
      <c r="B18" s="12">
        <v>101640</v>
      </c>
      <c r="C18" s="2">
        <f t="shared" si="0"/>
        <v>46022</v>
      </c>
      <c r="D18" s="1">
        <v>12</v>
      </c>
      <c r="E18" s="3">
        <v>443859.06</v>
      </c>
      <c r="F18" s="13">
        <v>0.12280000000000001</v>
      </c>
      <c r="G18" s="8">
        <f>(1810400-Tabla1354[[#This Row],[PA_Acumulada]])</f>
        <v>1366540.94</v>
      </c>
    </row>
    <row r="19" spans="1:7" x14ac:dyDescent="0.2">
      <c r="A19" s="7" t="s">
        <v>47</v>
      </c>
      <c r="B19" s="12">
        <v>113076</v>
      </c>
      <c r="C19" s="2">
        <f t="shared" si="0"/>
        <v>46022</v>
      </c>
      <c r="D19" s="1">
        <v>12</v>
      </c>
      <c r="E19" s="3">
        <v>384226.53</v>
      </c>
      <c r="F19" s="13">
        <v>0.125</v>
      </c>
      <c r="G19" s="8">
        <f>(1810400-Tabla1354[[#This Row],[PA_Acumulada]])</f>
        <v>1426173.47</v>
      </c>
    </row>
    <row r="20" spans="1:7" x14ac:dyDescent="0.2">
      <c r="A20" s="7" t="s">
        <v>13</v>
      </c>
      <c r="B20" s="12">
        <v>112083</v>
      </c>
      <c r="C20" s="2">
        <f t="shared" si="0"/>
        <v>46022</v>
      </c>
      <c r="D20" s="1">
        <v>12</v>
      </c>
      <c r="E20" s="3">
        <v>345042.75</v>
      </c>
      <c r="F20" s="13">
        <v>0.1069</v>
      </c>
      <c r="G20" s="8">
        <f>(1810400-Tabla1354[[#This Row],[PA_Acumulada]])</f>
        <v>1465357.25</v>
      </c>
    </row>
    <row r="21" spans="1:7" x14ac:dyDescent="0.2">
      <c r="A21" s="7" t="s">
        <v>46</v>
      </c>
      <c r="B21" s="12">
        <v>113450</v>
      </c>
      <c r="C21" s="2">
        <f t="shared" si="0"/>
        <v>46022</v>
      </c>
      <c r="D21" s="1">
        <v>12</v>
      </c>
      <c r="E21" s="3">
        <v>344516.28</v>
      </c>
      <c r="F21" s="13">
        <v>0.13600000000000001</v>
      </c>
      <c r="G21" s="8">
        <f>(1810400-Tabla1354[[#This Row],[PA_Acumulada]])</f>
        <v>1465883.72</v>
      </c>
    </row>
    <row r="22" spans="1:7" x14ac:dyDescent="0.2">
      <c r="A22" s="7" t="s">
        <v>48</v>
      </c>
      <c r="B22" s="12">
        <v>115047</v>
      </c>
      <c r="C22" s="2">
        <f t="shared" si="0"/>
        <v>46022</v>
      </c>
      <c r="D22" s="1">
        <v>12</v>
      </c>
      <c r="E22" s="3">
        <v>340864.69</v>
      </c>
      <c r="F22" s="13">
        <v>0.17230000000000001</v>
      </c>
      <c r="G22" s="8">
        <f>(1810400-Tabla1354[[#This Row],[PA_Acumulada]])</f>
        <v>1469535.31</v>
      </c>
    </row>
    <row r="23" spans="1:7" x14ac:dyDescent="0.2">
      <c r="A23" s="7" t="s">
        <v>49</v>
      </c>
      <c r="B23" s="12">
        <v>114100</v>
      </c>
      <c r="C23" s="2">
        <f t="shared" si="0"/>
        <v>46022</v>
      </c>
      <c r="D23" s="1">
        <v>12</v>
      </c>
      <c r="E23" s="3">
        <v>313488.28999999998</v>
      </c>
      <c r="F23" s="13">
        <v>0.18229999999999999</v>
      </c>
      <c r="G23" s="8">
        <f>(1810400-Tabla1354[[#This Row],[PA_Acumulada]])</f>
        <v>1496911.71</v>
      </c>
    </row>
    <row r="24" spans="1:7" x14ac:dyDescent="0.2">
      <c r="A24" s="7" t="s">
        <v>28</v>
      </c>
      <c r="B24" s="12">
        <v>109998</v>
      </c>
      <c r="C24" s="2">
        <f t="shared" si="0"/>
        <v>46022</v>
      </c>
      <c r="D24" s="1">
        <v>12</v>
      </c>
      <c r="E24" s="3">
        <v>309583.43</v>
      </c>
      <c r="F24" s="13">
        <v>0.18</v>
      </c>
      <c r="G24" s="8">
        <f>(1810400-Tabla1354[[#This Row],[PA_Acumulada]])</f>
        <v>1500816.57</v>
      </c>
    </row>
    <row r="25" spans="1:7" x14ac:dyDescent="0.2">
      <c r="A25" s="7" t="s">
        <v>6</v>
      </c>
      <c r="B25" s="12">
        <v>111960</v>
      </c>
      <c r="C25" s="2">
        <f t="shared" si="0"/>
        <v>46022</v>
      </c>
      <c r="D25" s="1">
        <v>12</v>
      </c>
      <c r="E25" s="3">
        <v>307214.71999999997</v>
      </c>
      <c r="F25" s="13">
        <v>0.1724</v>
      </c>
      <c r="G25" s="8">
        <f>(1810400-Tabla1354[[#This Row],[PA_Acumulada]])</f>
        <v>1503185.28</v>
      </c>
    </row>
    <row r="26" spans="1:7" x14ac:dyDescent="0.2">
      <c r="A26" s="7" t="s">
        <v>14</v>
      </c>
      <c r="B26" s="12">
        <v>109819</v>
      </c>
      <c r="C26" s="2">
        <f t="shared" si="0"/>
        <v>46022</v>
      </c>
      <c r="D26" s="1">
        <v>12</v>
      </c>
      <c r="E26" s="3">
        <v>251834.49</v>
      </c>
      <c r="F26" s="13">
        <v>9.2700000000000005E-2</v>
      </c>
      <c r="G26" s="8">
        <f>(1810400-Tabla1354[[#This Row],[PA_Acumulada]])</f>
        <v>1558565.51</v>
      </c>
    </row>
    <row r="27" spans="1:7" x14ac:dyDescent="0.2">
      <c r="A27" s="7" t="s">
        <v>22</v>
      </c>
      <c r="B27" s="12">
        <v>111056</v>
      </c>
      <c r="C27" s="2">
        <f t="shared" si="0"/>
        <v>46022</v>
      </c>
      <c r="D27" s="1">
        <v>12</v>
      </c>
      <c r="E27" s="3">
        <v>246097.69</v>
      </c>
      <c r="F27" s="13">
        <v>3.04E-2</v>
      </c>
      <c r="G27" s="8">
        <f>(1810400-Tabla1354[[#This Row],[PA_Acumulada]])</f>
        <v>1564302.31</v>
      </c>
    </row>
    <row r="28" spans="1:7" x14ac:dyDescent="0.2">
      <c r="A28" s="7" t="s">
        <v>15</v>
      </c>
      <c r="B28" s="12">
        <v>106018</v>
      </c>
      <c r="C28" s="2">
        <f t="shared" si="0"/>
        <v>46022</v>
      </c>
      <c r="D28" s="1">
        <v>12</v>
      </c>
      <c r="E28" s="3">
        <v>236522.65</v>
      </c>
      <c r="F28" s="13">
        <v>0.11899999999999999</v>
      </c>
      <c r="G28" s="8">
        <f>(1810400-Tabla1354[[#This Row],[PA_Acumulada]])</f>
        <v>1573877.35</v>
      </c>
    </row>
    <row r="29" spans="1:7" x14ac:dyDescent="0.2">
      <c r="A29" s="7" t="s">
        <v>50</v>
      </c>
      <c r="B29" s="12">
        <v>114157</v>
      </c>
      <c r="C29" s="2">
        <f t="shared" si="0"/>
        <v>46022</v>
      </c>
      <c r="D29" s="1">
        <v>12</v>
      </c>
      <c r="E29" s="3">
        <v>205078.7</v>
      </c>
      <c r="F29" s="13">
        <v>9.01E-2</v>
      </c>
      <c r="G29" s="8">
        <f>(1810400-Tabla1354[[#This Row],[PA_Acumulada]])</f>
        <v>1605321.3</v>
      </c>
    </row>
    <row r="30" spans="1:7" x14ac:dyDescent="0.2">
      <c r="A30" s="7" t="s">
        <v>34</v>
      </c>
      <c r="B30" s="12">
        <v>98797</v>
      </c>
      <c r="C30" s="2">
        <f t="shared" si="0"/>
        <v>46022</v>
      </c>
      <c r="D30" s="1">
        <v>12</v>
      </c>
      <c r="E30" s="3">
        <v>188284.04</v>
      </c>
      <c r="F30" s="13">
        <v>6.7400000000000002E-2</v>
      </c>
      <c r="G30" s="8">
        <f>(1810400-Tabla1354[[#This Row],[PA_Acumulada]])</f>
        <v>1622115.96</v>
      </c>
    </row>
    <row r="31" spans="1:7" x14ac:dyDescent="0.2">
      <c r="A31" s="7" t="s">
        <v>51</v>
      </c>
      <c r="B31" s="12">
        <v>115404</v>
      </c>
      <c r="C31" s="2">
        <f t="shared" si="0"/>
        <v>46022</v>
      </c>
      <c r="D31" s="1">
        <v>12</v>
      </c>
      <c r="E31" s="3">
        <v>180517.64</v>
      </c>
      <c r="F31" s="13">
        <v>9.0700000000000003E-2</v>
      </c>
      <c r="G31" s="8">
        <f>(1810400-Tabla1354[[#This Row],[PA_Acumulada]])</f>
        <v>1629882.3599999999</v>
      </c>
    </row>
    <row r="32" spans="1:7" x14ac:dyDescent="0.2">
      <c r="A32" s="7" t="s">
        <v>31</v>
      </c>
      <c r="B32" s="12">
        <v>64502</v>
      </c>
      <c r="C32" s="2">
        <f t="shared" si="0"/>
        <v>46022</v>
      </c>
      <c r="D32" s="1">
        <v>12</v>
      </c>
      <c r="E32" s="3">
        <v>178961.99</v>
      </c>
      <c r="F32" s="13">
        <v>0.10539999999999999</v>
      </c>
      <c r="G32" s="8">
        <f>(1810400-Tabla1354[[#This Row],[PA_Acumulada]])</f>
        <v>1631438.01</v>
      </c>
    </row>
    <row r="33" spans="1:7" x14ac:dyDescent="0.2">
      <c r="A33" s="7" t="s">
        <v>52</v>
      </c>
      <c r="B33" s="12">
        <v>112522</v>
      </c>
      <c r="C33" s="2">
        <f t="shared" si="0"/>
        <v>46022</v>
      </c>
      <c r="D33" s="1">
        <v>12</v>
      </c>
      <c r="E33" s="3">
        <v>169406.21</v>
      </c>
      <c r="F33" s="13">
        <v>9.9699999999999997E-2</v>
      </c>
      <c r="G33" s="8">
        <f>(1810400-Tabla1354[[#This Row],[PA_Acumulada]])</f>
        <v>1640993.79</v>
      </c>
    </row>
    <row r="34" spans="1:7" x14ac:dyDescent="0.2">
      <c r="A34" s="7" t="s">
        <v>23</v>
      </c>
      <c r="B34" s="12">
        <v>63441</v>
      </c>
      <c r="C34" s="2">
        <f t="shared" si="0"/>
        <v>46022</v>
      </c>
      <c r="D34" s="1">
        <v>12</v>
      </c>
      <c r="E34" s="3">
        <v>164889.29</v>
      </c>
      <c r="F34" s="13">
        <v>7.1900000000000006E-2</v>
      </c>
      <c r="G34" s="8">
        <f>(1810400-Tabla1354[[#This Row],[PA_Acumulada]])</f>
        <v>1645510.71</v>
      </c>
    </row>
    <row r="35" spans="1:7" x14ac:dyDescent="0.2">
      <c r="A35" s="7" t="s">
        <v>21</v>
      </c>
      <c r="B35" s="12">
        <v>109007</v>
      </c>
      <c r="C35" s="2">
        <f t="shared" si="0"/>
        <v>46022</v>
      </c>
      <c r="D35" s="1">
        <v>12</v>
      </c>
      <c r="E35" s="3">
        <v>162789.46</v>
      </c>
      <c r="F35" s="13">
        <v>6.2700000000000006E-2</v>
      </c>
      <c r="G35" s="8">
        <f>(1810400-Tabla1354[[#This Row],[PA_Acumulada]])</f>
        <v>1647610.54</v>
      </c>
    </row>
    <row r="36" spans="1:7" x14ac:dyDescent="0.2">
      <c r="A36" s="7" t="s">
        <v>53</v>
      </c>
      <c r="B36" s="12">
        <v>114431</v>
      </c>
      <c r="C36" s="2">
        <f t="shared" si="0"/>
        <v>46022</v>
      </c>
      <c r="D36" s="1">
        <v>12</v>
      </c>
      <c r="E36" s="3">
        <v>155492.32999999999</v>
      </c>
      <c r="F36" s="13">
        <v>8.4400000000000003E-2</v>
      </c>
      <c r="G36" s="8">
        <f>(1810400-Tabla1354[[#This Row],[PA_Acumulada]])</f>
        <v>1654907.67</v>
      </c>
    </row>
    <row r="37" spans="1:7" x14ac:dyDescent="0.2">
      <c r="A37" s="7" t="s">
        <v>25</v>
      </c>
      <c r="B37" s="12">
        <v>110105</v>
      </c>
      <c r="C37" s="2">
        <f t="shared" si="0"/>
        <v>46022</v>
      </c>
      <c r="D37" s="1">
        <v>12</v>
      </c>
      <c r="E37" s="3">
        <v>153782.96</v>
      </c>
      <c r="F37" s="13">
        <v>9.2799999999999994E-2</v>
      </c>
      <c r="G37" s="8">
        <f>(1810400-Tabla1354[[#This Row],[PA_Acumulada]])</f>
        <v>1656617.04</v>
      </c>
    </row>
    <row r="38" spans="1:7" x14ac:dyDescent="0.2">
      <c r="A38" s="7" t="s">
        <v>54</v>
      </c>
      <c r="B38" s="12">
        <v>116060</v>
      </c>
      <c r="C38" s="2">
        <f t="shared" si="0"/>
        <v>46022</v>
      </c>
      <c r="D38" s="1">
        <v>12</v>
      </c>
      <c r="E38" s="4">
        <v>146770.03</v>
      </c>
      <c r="F38" s="13">
        <v>8.6400000000000005E-2</v>
      </c>
      <c r="G38" s="8">
        <f>(1810400-Tabla1354[[#This Row],[PA_Acumulada]])</f>
        <v>1663629.97</v>
      </c>
    </row>
    <row r="39" spans="1:7" x14ac:dyDescent="0.2">
      <c r="A39" s="7" t="s">
        <v>27</v>
      </c>
      <c r="B39" s="12">
        <v>65046</v>
      </c>
      <c r="C39" s="2">
        <f t="shared" si="0"/>
        <v>46022</v>
      </c>
      <c r="D39" s="1">
        <v>12</v>
      </c>
      <c r="E39" s="4">
        <v>138196.49</v>
      </c>
      <c r="F39" s="13">
        <v>3.6700000000000003E-2</v>
      </c>
      <c r="G39" s="8">
        <f>(1810400-Tabla1354[[#This Row],[PA_Acumulada]])</f>
        <v>1672203.51</v>
      </c>
    </row>
    <row r="40" spans="1:7" x14ac:dyDescent="0.2">
      <c r="A40" s="7" t="s">
        <v>55</v>
      </c>
      <c r="B40" s="12">
        <v>94205</v>
      </c>
      <c r="C40" s="2">
        <f t="shared" si="0"/>
        <v>46022</v>
      </c>
      <c r="D40" s="1">
        <v>12</v>
      </c>
      <c r="E40" s="4">
        <v>132169.76999999999</v>
      </c>
      <c r="F40" s="13">
        <v>6.4399999999999999E-2</v>
      </c>
      <c r="G40" s="8">
        <f>(1810400-Tabla1354[[#This Row],[PA_Acumulada]])</f>
        <v>1678230.23</v>
      </c>
    </row>
    <row r="41" spans="1:7" x14ac:dyDescent="0.2">
      <c r="A41" s="7" t="s">
        <v>17</v>
      </c>
      <c r="B41" s="12">
        <v>108658</v>
      </c>
      <c r="C41" s="2">
        <f t="shared" si="0"/>
        <v>46022</v>
      </c>
      <c r="D41" s="1">
        <v>12</v>
      </c>
      <c r="E41" s="4">
        <v>114268.52</v>
      </c>
      <c r="F41" s="13">
        <v>5.9200000000000003E-2</v>
      </c>
      <c r="G41" s="8">
        <f>(1810400-Tabla1354[[#This Row],[PA_Acumulada]])</f>
        <v>1696131.48</v>
      </c>
    </row>
    <row r="42" spans="1:7" x14ac:dyDescent="0.2">
      <c r="A42" s="7" t="s">
        <v>24</v>
      </c>
      <c r="B42" s="12">
        <v>88234</v>
      </c>
      <c r="C42" s="2">
        <f t="shared" si="0"/>
        <v>46022</v>
      </c>
      <c r="D42" s="1">
        <v>12</v>
      </c>
      <c r="E42" s="3">
        <v>96341</v>
      </c>
      <c r="F42" s="13">
        <v>4.1300000000000003E-2</v>
      </c>
      <c r="G42" s="8">
        <f>(1810400-Tabla1354[[#This Row],[PA_Acumulada]])</f>
        <v>1714059</v>
      </c>
    </row>
    <row r="43" spans="1:7" x14ac:dyDescent="0.2">
      <c r="A43" s="9" t="s">
        <v>56</v>
      </c>
      <c r="B43" s="12">
        <v>114664</v>
      </c>
      <c r="C43" s="2">
        <f t="shared" si="0"/>
        <v>46022</v>
      </c>
      <c r="D43" s="1">
        <v>12</v>
      </c>
      <c r="E43" s="10">
        <v>95319.2</v>
      </c>
      <c r="F43" s="13">
        <v>5.6099999999999997E-2</v>
      </c>
      <c r="G43" s="11">
        <f>(1810400-Tabla1354[[#This Row],[PA_Acumulada]])</f>
        <v>1715080.8</v>
      </c>
    </row>
    <row r="44" spans="1:7" x14ac:dyDescent="0.2">
      <c r="A44" s="9" t="s">
        <v>26</v>
      </c>
      <c r="B44" s="12">
        <v>81044</v>
      </c>
      <c r="C44" s="2">
        <f t="shared" si="0"/>
        <v>46022</v>
      </c>
      <c r="D44" s="1">
        <v>12</v>
      </c>
      <c r="E44" s="10">
        <v>94620.24</v>
      </c>
      <c r="F44" s="13">
        <v>-2.5000000000000001E-3</v>
      </c>
      <c r="G44" s="11">
        <f>(1810400-Tabla1354[[#This Row],[PA_Acumulada]])</f>
        <v>1715779.76</v>
      </c>
    </row>
    <row r="45" spans="1:7" x14ac:dyDescent="0.2">
      <c r="A45" s="9" t="s">
        <v>29</v>
      </c>
      <c r="B45" s="12">
        <v>94156</v>
      </c>
      <c r="C45" s="2">
        <f t="shared" si="0"/>
        <v>46022</v>
      </c>
      <c r="D45" s="1">
        <v>12</v>
      </c>
      <c r="E45" s="10">
        <v>54096.08</v>
      </c>
      <c r="F45" s="13">
        <v>2.1299999999999999E-2</v>
      </c>
      <c r="G45" s="11">
        <f>(1810400-Tabla1354[[#This Row],[PA_Acumulada]])</f>
        <v>1756303.92</v>
      </c>
    </row>
    <row r="46" spans="1:7" x14ac:dyDescent="0.2">
      <c r="A46" s="9" t="s">
        <v>38</v>
      </c>
      <c r="B46" s="12">
        <v>90177</v>
      </c>
      <c r="C46" s="2">
        <f t="shared" si="0"/>
        <v>46022</v>
      </c>
      <c r="D46" s="1">
        <v>12</v>
      </c>
      <c r="E46" s="10">
        <v>43823.040000000001</v>
      </c>
      <c r="F46" s="13">
        <v>3.5400000000000001E-2</v>
      </c>
      <c r="G46" s="11">
        <f>(1810400-Tabla1354[[#This Row],[PA_Acumulada]])</f>
        <v>1766576.96</v>
      </c>
    </row>
    <row r="47" spans="1:7" x14ac:dyDescent="0.2">
      <c r="A47" s="9" t="s">
        <v>33</v>
      </c>
      <c r="B47" s="12">
        <v>102825</v>
      </c>
      <c r="C47" s="2">
        <f t="shared" si="0"/>
        <v>46022</v>
      </c>
      <c r="D47" s="1">
        <v>12</v>
      </c>
      <c r="E47" s="10">
        <v>38961.82</v>
      </c>
      <c r="F47" s="13">
        <v>2.29E-2</v>
      </c>
      <c r="G47" s="11">
        <f>(1810400-Tabla1354[[#This Row],[PA_Acumulada]])</f>
        <v>1771438.18</v>
      </c>
    </row>
    <row r="48" spans="1:7" x14ac:dyDescent="0.2">
      <c r="A48" s="9" t="s">
        <v>35</v>
      </c>
      <c r="B48" s="12">
        <v>103982</v>
      </c>
      <c r="C48" s="2">
        <f t="shared" si="0"/>
        <v>46022</v>
      </c>
      <c r="D48" s="1">
        <v>12</v>
      </c>
      <c r="E48" s="10">
        <v>28396.89</v>
      </c>
      <c r="F48" s="13">
        <v>0</v>
      </c>
      <c r="G48" s="11">
        <f>(1810400-Tabla1354[[#This Row],[PA_Acumulada]])</f>
        <v>1782003.11</v>
      </c>
    </row>
    <row r="49" spans="1:7" x14ac:dyDescent="0.2">
      <c r="A49" s="9" t="s">
        <v>36</v>
      </c>
      <c r="B49" s="12">
        <v>81618</v>
      </c>
      <c r="C49" s="2">
        <f t="shared" si="0"/>
        <v>46022</v>
      </c>
      <c r="D49" s="1">
        <v>12</v>
      </c>
      <c r="E49" s="10">
        <v>9060.02</v>
      </c>
      <c r="F49" s="13">
        <v>5.3E-3</v>
      </c>
      <c r="G49" s="11">
        <f>(1810400-Tabla1354[[#This Row],[PA_Acumulada]])</f>
        <v>1801339.98</v>
      </c>
    </row>
    <row r="50" spans="1:7" x14ac:dyDescent="0.2">
      <c r="A50" s="9" t="s">
        <v>32</v>
      </c>
      <c r="B50" s="12">
        <v>69684</v>
      </c>
      <c r="C50" s="2">
        <f t="shared" si="0"/>
        <v>46022</v>
      </c>
      <c r="D50" s="1">
        <v>12</v>
      </c>
      <c r="E50" s="10">
        <v>1104.3699999999999</v>
      </c>
      <c r="F50" s="13">
        <v>6.9999999999999999E-4</v>
      </c>
      <c r="G50" s="11">
        <f>(1810400-Tabla1354[[#This Row],[PA_Acumulada]])</f>
        <v>1809295.63</v>
      </c>
    </row>
    <row r="51" spans="1:7" x14ac:dyDescent="0.2">
      <c r="A51" s="9" t="s">
        <v>37</v>
      </c>
      <c r="B51" s="12">
        <v>59120</v>
      </c>
      <c r="C51" s="2">
        <f t="shared" si="0"/>
        <v>46022</v>
      </c>
      <c r="D51" s="1">
        <v>12</v>
      </c>
      <c r="E51" s="10">
        <v>0</v>
      </c>
      <c r="F51" s="13">
        <v>0</v>
      </c>
      <c r="G51" s="11">
        <f>(1810400-Tabla1354[[#This Row],[PA_Acumulada]])</f>
        <v>1810400</v>
      </c>
    </row>
  </sheetData>
  <conditionalFormatting sqref="A2:A51">
    <cfRule type="expression" dxfId="6" priority="7" stopIfTrue="1">
      <formula>#REF!&lt;&gt;""</formula>
    </cfRule>
  </conditionalFormatting>
  <conditionalFormatting sqref="B2:B51">
    <cfRule type="expression" dxfId="5" priority="2" stopIfTrue="1">
      <formula>$B2&lt;&gt;""</formula>
    </cfRule>
  </conditionalFormatting>
  <conditionalFormatting sqref="C2:D51">
    <cfRule type="expression" dxfId="4" priority="6" stopIfTrue="1">
      <formula>#REF!&lt;&gt;""</formula>
    </cfRule>
  </conditionalFormatting>
  <conditionalFormatting sqref="E2:E51">
    <cfRule type="expression" dxfId="3" priority="4" stopIfTrue="1">
      <formula>#REF!&lt;&gt;""</formula>
    </cfRule>
    <cfRule type="expression" dxfId="2" priority="5" stopIfTrue="1">
      <formula>#REF!&lt;&gt;""</formula>
    </cfRule>
  </conditionalFormatting>
  <conditionalFormatting sqref="F2:F51">
    <cfRule type="expression" dxfId="1" priority="1" stopIfTrue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2025-12-30T21:00:59Z</dcterms:created>
  <dcterms:modified xsi:type="dcterms:W3CDTF">2026-01-19T16:13:47Z</dcterms:modified>
</cp:coreProperties>
</file>