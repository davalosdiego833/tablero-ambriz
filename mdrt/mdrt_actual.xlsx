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2943C3D5-C3D2-D743-AD7C-41920D701F02}" xr6:coauthVersionLast="47" xr6:coauthVersionMax="47" xr10:uidLastSave="{00000000-0000-0000-0000-000000000000}"/>
  <bookViews>
    <workbookView xWindow="4340" yWindow="500" windowWidth="24460" windowHeight="1618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1" l="1"/>
  <c r="G43" i="1"/>
  <c r="G5" i="1"/>
  <c r="G4" i="1"/>
  <c r="G3" i="1"/>
  <c r="G2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</calcChain>
</file>

<file path=xl/sharedStrings.xml><?xml version="1.0" encoding="utf-8"?>
<sst xmlns="http://schemas.openxmlformats.org/spreadsheetml/2006/main" count="49" uniqueCount="49">
  <si>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</si>
  <si>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</si>
  <si>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</si>
  <si>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</si>
  <si>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</si>
  <si>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</si>
  <si>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</si>
  <si>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</si>
  <si>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</si>
  <si>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</si>
  <si>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</si>
  <si>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</si>
  <si>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</si>
  <si>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</si>
  <si>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</si>
  <si>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</si>
  <si>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</si>
  <si>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</si>
  <si>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</si>
  <si>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</si>
  <si>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</si>
  <si>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</si>
  <si>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</si>
  <si>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ANGELICA YADIRA ROMERO JAUREGUI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</si>
  <si>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</si>
  <si>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</si>
  <si>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</si>
  <si>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</si>
  <si>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</si>
  <si>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</si>
  <si>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</si>
  <si>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</si>
  <si>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</si>
  <si>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</si>
  <si>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</si>
  <si>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</si>
  <si>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ARMANDO JONATHAN DE LA CRUZ DIAZ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</si>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</sst>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9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165" fontId="2" fillId="0" borderId="1" xfId="2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" fontId="6" fillId="0" borderId="5" xfId="0" applyNumberFormat="1" applyFont="1" applyBorder="1" applyAlignment="1" applyProtection="1">
      <alignment horizontal="center"/>
      <protection locked="0"/>
    </xf>
    <xf numFmtId="1" fontId="2" fillId="0" borderId="5" xfId="0" applyNumberFormat="1" applyFont="1" applyBorder="1" applyAlignment="1" applyProtection="1">
      <alignment horizont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165" fontId="2" fillId="0" borderId="5" xfId="2" applyNumberFormat="1" applyFont="1" applyFill="1" applyBorder="1" applyAlignment="1" applyProtection="1">
      <alignment horizontal="center"/>
      <protection locked="0"/>
    </xf>
    <xf numFmtId="3" fontId="7" fillId="0" borderId="6" xfId="0" applyNumberFormat="1" applyFont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7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G43" totalsRowShown="0" headerRowDxfId="16" dataDxfId="14" headerRowBorderDxfId="15" tableBorderDxfId="13" totalsRowBorderDxfId="12">
  <autoFilter ref="A1:G43" xr:uid="{E315FDF5-0096-7641-98E2-79A7C2A6467A}"/>
  <sortState xmlns:xlrd2="http://schemas.microsoft.com/office/spreadsheetml/2017/richdata2" ref="A2:G39">
    <sortCondition descending="1" ref="E1:E39"/>
  </sortState>
  <tableColumns count="7">
    <tableColumn id="1" xr3:uid="{2CA99AFE-1903-6D4B-93D9-DD22E72018C3}" name="Asesor" dataDxfId="11"/>
    <tableColumn id="8" xr3:uid="{8D0734FC-3769-4F41-9ECD-2C6FE21FFA0E}" name="Clave" dataDxfId="10"/>
    <tableColumn id="7" xr3:uid="{1247CE0F-8F5E-194F-AD79-C20593AA6B7C}" name="Fecha_Corte" dataDxfId="9"/>
    <tableColumn id="9" xr3:uid="{1B89683A-64AB-0646-9B15-2B5DA7E1CEEC}" name="Mes_Actual" dataDxfId="8"/>
    <tableColumn id="6" xr3:uid="{C4F1D3A5-1E56-8C40-9BD7-1C13F22F25C5}" name="PA_Acumulada" dataDxfId="7" dataCellStyle="Millares"/>
    <tableColumn id="2" xr3:uid="{C05A17F7-6BDD-0C40-A77A-7F7E195BCDDE}" name="Porcentaje_Vida" dataDxfId="6" dataCellStyle="Porcentaje"/>
    <tableColumn id="5" xr3:uid="{312E2988-4C52-5E40-BB07-41C4565E8822}" name="PA_Faltante_Miembro" dataDxfId="5">
      <calculatedColumnFormula>(1698400-Tabla1354[[#This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G43"/>
  <sheetViews>
    <sheetView tabSelected="1" zoomScale="87" workbookViewId="0">
      <selection activeCell="C47" sqref="C47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7" x14ac:dyDescent="0.2">
      <c r="A1" s="6" t="s">
        <v>41</v>
      </c>
      <c r="B1" s="7" t="s">
        <v>47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</row>
    <row r="2" spans="1:7" x14ac:dyDescent="0.2">
      <c r="A2" s="8" t="s">
        <v>0</v>
      </c>
      <c r="B2" s="1">
        <v>87538</v>
      </c>
      <c r="C2" s="2">
        <v>45744</v>
      </c>
      <c r="D2" s="1">
        <v>3</v>
      </c>
      <c r="E2" s="3">
        <v>1120766.28</v>
      </c>
      <c r="F2" s="4">
        <v>0.45619999999999999</v>
      </c>
      <c r="G2" s="9">
        <f>(1698400-Tabla1354[[#This Row],[PA_Acumulada]])</f>
        <v>577633.72</v>
      </c>
    </row>
    <row r="3" spans="1:7" x14ac:dyDescent="0.2">
      <c r="A3" s="8" t="s">
        <v>1</v>
      </c>
      <c r="B3" s="1">
        <v>80122</v>
      </c>
      <c r="C3" s="2">
        <f>C2</f>
        <v>45744</v>
      </c>
      <c r="D3" s="1">
        <v>3</v>
      </c>
      <c r="E3" s="3">
        <v>471195.64</v>
      </c>
      <c r="F3" s="4">
        <v>0.27739999999999998</v>
      </c>
      <c r="G3" s="9">
        <f>(1698400-Tabla1354[[#This Row],[PA_Acumulada]])</f>
        <v>1227204.3599999999</v>
      </c>
    </row>
    <row r="4" spans="1:7" x14ac:dyDescent="0.2">
      <c r="A4" s="8" t="s">
        <v>2</v>
      </c>
      <c r="B4" s="1">
        <v>90355</v>
      </c>
      <c r="C4" s="2">
        <f t="shared" ref="C4:C43" si="0">C3</f>
        <v>45744</v>
      </c>
      <c r="D4" s="1">
        <v>3</v>
      </c>
      <c r="E4" s="3">
        <v>460891.38</v>
      </c>
      <c r="F4" s="4">
        <v>0.1951</v>
      </c>
      <c r="G4" s="9">
        <f>(1698400-Tabla1354[[#This Row],[PA_Acumulada]])</f>
        <v>1237508.6200000001</v>
      </c>
    </row>
    <row r="5" spans="1:7" x14ac:dyDescent="0.2">
      <c r="A5" s="8" t="s">
        <v>3</v>
      </c>
      <c r="B5" s="1">
        <v>107488</v>
      </c>
      <c r="C5" s="2">
        <f t="shared" si="0"/>
        <v>45744</v>
      </c>
      <c r="D5" s="1">
        <v>3</v>
      </c>
      <c r="E5" s="3">
        <v>387663.99</v>
      </c>
      <c r="F5" s="4">
        <v>0.1128</v>
      </c>
      <c r="G5" s="9">
        <f>(1698400-Tabla1354[[#This Row],[PA_Acumulada]])</f>
        <v>1310736.01</v>
      </c>
    </row>
    <row r="6" spans="1:7" x14ac:dyDescent="0.2">
      <c r="A6" s="8" t="s">
        <v>4</v>
      </c>
      <c r="B6" s="1">
        <v>108404</v>
      </c>
      <c r="C6" s="2">
        <f t="shared" si="0"/>
        <v>45744</v>
      </c>
      <c r="D6" s="1">
        <v>3</v>
      </c>
      <c r="E6" s="3">
        <v>369575.84</v>
      </c>
      <c r="F6" s="4">
        <v>0.15240000000000001</v>
      </c>
      <c r="G6" s="9">
        <f>(1698400-Tabla1354[[#This Row],[PA_Acumulada]])</f>
        <v>1328824.1599999999</v>
      </c>
    </row>
    <row r="7" spans="1:7" x14ac:dyDescent="0.2">
      <c r="A7" s="8" t="s">
        <v>5</v>
      </c>
      <c r="B7" s="1">
        <v>110453</v>
      </c>
      <c r="C7" s="2">
        <f t="shared" si="0"/>
        <v>45744</v>
      </c>
      <c r="D7" s="1">
        <v>3</v>
      </c>
      <c r="E7" s="3">
        <v>360022.45</v>
      </c>
      <c r="F7" s="4">
        <v>0.1474</v>
      </c>
      <c r="G7" s="9">
        <f>(1698400-Tabla1354[[#This Row],[PA_Acumulada]])</f>
        <v>1338377.55</v>
      </c>
    </row>
    <row r="8" spans="1:7" x14ac:dyDescent="0.2">
      <c r="A8" s="8" t="s">
        <v>6</v>
      </c>
      <c r="B8" s="1">
        <v>111960</v>
      </c>
      <c r="C8" s="2">
        <f t="shared" si="0"/>
        <v>45744</v>
      </c>
      <c r="D8" s="1">
        <v>3</v>
      </c>
      <c r="E8" s="3">
        <v>265587.88</v>
      </c>
      <c r="F8" s="4">
        <v>0.15640000000000001</v>
      </c>
      <c r="G8" s="9">
        <f>(1698400-Tabla1354[[#This Row],[PA_Acumulada]])</f>
        <v>1432812.12</v>
      </c>
    </row>
    <row r="9" spans="1:7" x14ac:dyDescent="0.2">
      <c r="A9" s="8" t="s">
        <v>7</v>
      </c>
      <c r="B9" s="1">
        <v>101640</v>
      </c>
      <c r="C9" s="2">
        <f t="shared" si="0"/>
        <v>45744</v>
      </c>
      <c r="D9" s="1">
        <v>3</v>
      </c>
      <c r="E9" s="3">
        <v>250937.3</v>
      </c>
      <c r="F9" s="4">
        <v>5.5999999999999999E-3</v>
      </c>
      <c r="G9" s="9">
        <f>(1698400-Tabla1354[[#This Row],[PA_Acumulada]])</f>
        <v>1447462.7</v>
      </c>
    </row>
    <row r="10" spans="1:7" x14ac:dyDescent="0.2">
      <c r="A10" s="8" t="s">
        <v>8</v>
      </c>
      <c r="B10" s="1">
        <v>104750</v>
      </c>
      <c r="C10" s="2">
        <f t="shared" si="0"/>
        <v>45744</v>
      </c>
      <c r="D10" s="1">
        <v>3</v>
      </c>
      <c r="E10" s="3">
        <v>229233.36</v>
      </c>
      <c r="F10" s="4">
        <v>0.1255</v>
      </c>
      <c r="G10" s="9">
        <f>(1698400-Tabla1354[[#This Row],[PA_Acumulada]])</f>
        <v>1469166.6400000001</v>
      </c>
    </row>
    <row r="11" spans="1:7" x14ac:dyDescent="0.2">
      <c r="A11" s="8" t="s">
        <v>9</v>
      </c>
      <c r="B11" s="1">
        <v>47116</v>
      </c>
      <c r="C11" s="2">
        <f t="shared" si="0"/>
        <v>45744</v>
      </c>
      <c r="D11" s="1">
        <v>3</v>
      </c>
      <c r="E11" s="3">
        <v>229177.60000000001</v>
      </c>
      <c r="F11" s="4">
        <v>8.6099999999999996E-2</v>
      </c>
      <c r="G11" s="9">
        <f>(1698400-Tabla1354[[#This Row],[PA_Acumulada]])</f>
        <v>1469222.4</v>
      </c>
    </row>
    <row r="12" spans="1:7" x14ac:dyDescent="0.2">
      <c r="A12" s="8" t="s">
        <v>10</v>
      </c>
      <c r="B12" s="1">
        <v>104343</v>
      </c>
      <c r="C12" s="2">
        <f t="shared" si="0"/>
        <v>45744</v>
      </c>
      <c r="D12" s="1">
        <v>3</v>
      </c>
      <c r="E12" s="3">
        <v>228431.84</v>
      </c>
      <c r="F12" s="4">
        <v>0.1186</v>
      </c>
      <c r="G12" s="9">
        <f>(1698400-Tabla1354[[#This Row],[PA_Acumulada]])</f>
        <v>1469968.16</v>
      </c>
    </row>
    <row r="13" spans="1:7" x14ac:dyDescent="0.2">
      <c r="A13" s="8" t="s">
        <v>11</v>
      </c>
      <c r="B13" s="1">
        <v>104718</v>
      </c>
      <c r="C13" s="2">
        <f t="shared" si="0"/>
        <v>45744</v>
      </c>
      <c r="D13" s="1">
        <v>3</v>
      </c>
      <c r="E13" s="3">
        <v>218881.8</v>
      </c>
      <c r="F13" s="4">
        <v>0.109</v>
      </c>
      <c r="G13" s="9">
        <f>(1698400-Tabla1354[[#This Row],[PA_Acumulada]])</f>
        <v>1479518.2</v>
      </c>
    </row>
    <row r="14" spans="1:7" x14ac:dyDescent="0.2">
      <c r="A14" s="8" t="s">
        <v>12</v>
      </c>
      <c r="B14" s="1">
        <v>108405</v>
      </c>
      <c r="C14" s="2">
        <f t="shared" si="0"/>
        <v>45744</v>
      </c>
      <c r="D14" s="1">
        <v>3</v>
      </c>
      <c r="E14" s="3">
        <v>201111.2</v>
      </c>
      <c r="F14" s="4">
        <v>8.7599999999999997E-2</v>
      </c>
      <c r="G14" s="9">
        <f>(1698400-Tabla1354[[#This Row],[PA_Acumulada]])</f>
        <v>1497288.8</v>
      </c>
    </row>
    <row r="15" spans="1:7" x14ac:dyDescent="0.2">
      <c r="A15" s="8" t="s">
        <v>13</v>
      </c>
      <c r="B15" s="1">
        <v>112083</v>
      </c>
      <c r="C15" s="2">
        <f t="shared" si="0"/>
        <v>45744</v>
      </c>
      <c r="D15" s="1">
        <v>3</v>
      </c>
      <c r="E15" s="3">
        <v>183831.79</v>
      </c>
      <c r="F15" s="4">
        <v>7.6700000000000004E-2</v>
      </c>
      <c r="G15" s="9">
        <f>(1698400-Tabla1354[[#This Row],[PA_Acumulada]])</f>
        <v>1514568.21</v>
      </c>
    </row>
    <row r="16" spans="1:7" x14ac:dyDescent="0.2">
      <c r="A16" s="8" t="s">
        <v>14</v>
      </c>
      <c r="B16" s="1">
        <v>109819</v>
      </c>
      <c r="C16" s="2">
        <f t="shared" si="0"/>
        <v>45744</v>
      </c>
      <c r="D16" s="1">
        <v>3</v>
      </c>
      <c r="E16" s="3">
        <v>117514.29</v>
      </c>
      <c r="F16" s="4">
        <v>5.7099999999999998E-2</v>
      </c>
      <c r="G16" s="9">
        <f>(1698400-Tabla1354[[#This Row],[PA_Acumulada]])</f>
        <v>1580885.71</v>
      </c>
    </row>
    <row r="17" spans="1:7" x14ac:dyDescent="0.2">
      <c r="A17" s="8" t="s">
        <v>15</v>
      </c>
      <c r="B17" s="1">
        <v>106018</v>
      </c>
      <c r="C17" s="2">
        <f t="shared" si="0"/>
        <v>45744</v>
      </c>
      <c r="D17" s="1">
        <v>3</v>
      </c>
      <c r="E17" s="3">
        <v>111271.06</v>
      </c>
      <c r="F17" s="4">
        <v>4.07E-2</v>
      </c>
      <c r="G17" s="9">
        <f>(1698400-Tabla1354[[#This Row],[PA_Acumulada]])</f>
        <v>1587128.94</v>
      </c>
    </row>
    <row r="18" spans="1:7" x14ac:dyDescent="0.2">
      <c r="A18" s="8" t="s">
        <v>16</v>
      </c>
      <c r="B18" s="1">
        <v>105696</v>
      </c>
      <c r="C18" s="2">
        <f t="shared" si="0"/>
        <v>45744</v>
      </c>
      <c r="D18" s="1">
        <v>3</v>
      </c>
      <c r="E18" s="3">
        <v>109033.19</v>
      </c>
      <c r="F18" s="4">
        <v>2.9499999999999998E-2</v>
      </c>
      <c r="G18" s="9">
        <f>(1698400-Tabla1354[[#This Row],[PA_Acumulada]])</f>
        <v>1589366.81</v>
      </c>
    </row>
    <row r="19" spans="1:7" x14ac:dyDescent="0.2">
      <c r="A19" s="8" t="s">
        <v>17</v>
      </c>
      <c r="B19" s="1">
        <v>108658</v>
      </c>
      <c r="C19" s="2">
        <f t="shared" si="0"/>
        <v>45744</v>
      </c>
      <c r="D19" s="1">
        <v>3</v>
      </c>
      <c r="E19" s="3">
        <v>102286</v>
      </c>
      <c r="F19" s="4">
        <v>5.21E-2</v>
      </c>
      <c r="G19" s="9">
        <f>(1698400-Tabla1354[[#This Row],[PA_Acumulada]])</f>
        <v>1596114</v>
      </c>
    </row>
    <row r="20" spans="1:7" x14ac:dyDescent="0.2">
      <c r="A20" s="8" t="s">
        <v>18</v>
      </c>
      <c r="B20" s="1">
        <v>80925</v>
      </c>
      <c r="C20" s="2">
        <f t="shared" si="0"/>
        <v>45744</v>
      </c>
      <c r="D20" s="1">
        <v>3</v>
      </c>
      <c r="E20" s="3">
        <v>101143.82</v>
      </c>
      <c r="F20" s="4">
        <v>5.96E-2</v>
      </c>
      <c r="G20" s="9">
        <f>(1698400-Tabla1354[[#This Row],[PA_Acumulada]])</f>
        <v>1597256.18</v>
      </c>
    </row>
    <row r="21" spans="1:7" x14ac:dyDescent="0.2">
      <c r="A21" s="8" t="s">
        <v>19</v>
      </c>
      <c r="B21" s="1">
        <v>100677</v>
      </c>
      <c r="C21" s="2">
        <f t="shared" si="0"/>
        <v>45744</v>
      </c>
      <c r="D21" s="1">
        <v>3</v>
      </c>
      <c r="E21" s="3">
        <v>99429.55</v>
      </c>
      <c r="F21" s="4">
        <v>3.4799999999999998E-2</v>
      </c>
      <c r="G21" s="9">
        <f>(1698400-Tabla1354[[#This Row],[PA_Acumulada]])</f>
        <v>1598970.45</v>
      </c>
    </row>
    <row r="22" spans="1:7" x14ac:dyDescent="0.2">
      <c r="A22" s="8" t="s">
        <v>20</v>
      </c>
      <c r="B22" s="1">
        <v>95148</v>
      </c>
      <c r="C22" s="2">
        <f t="shared" si="0"/>
        <v>45744</v>
      </c>
      <c r="D22" s="1">
        <v>3</v>
      </c>
      <c r="E22" s="3">
        <v>84393.48</v>
      </c>
      <c r="F22" s="4">
        <v>4.2900000000000001E-2</v>
      </c>
      <c r="G22" s="9">
        <f>(1698400-Tabla1354[[#This Row],[PA_Acumulada]])</f>
        <v>1614006.52</v>
      </c>
    </row>
    <row r="23" spans="1:7" x14ac:dyDescent="0.2">
      <c r="A23" s="8" t="s">
        <v>21</v>
      </c>
      <c r="B23" s="1">
        <v>109007</v>
      </c>
      <c r="C23" s="2">
        <f t="shared" si="0"/>
        <v>45744</v>
      </c>
      <c r="D23" s="1">
        <v>3</v>
      </c>
      <c r="E23" s="3">
        <v>73801.94</v>
      </c>
      <c r="F23" s="4">
        <v>1.4200000000000001E-2</v>
      </c>
      <c r="G23" s="9">
        <f>(1698400-Tabla1354[[#This Row],[PA_Acumulada]])</f>
        <v>1624598.06</v>
      </c>
    </row>
    <row r="24" spans="1:7" x14ac:dyDescent="0.2">
      <c r="A24" s="8" t="s">
        <v>22</v>
      </c>
      <c r="B24" s="1">
        <v>111056</v>
      </c>
      <c r="C24" s="2">
        <f t="shared" si="0"/>
        <v>45744</v>
      </c>
      <c r="D24" s="1">
        <v>3</v>
      </c>
      <c r="E24" s="3">
        <v>70583.06</v>
      </c>
      <c r="F24" s="4">
        <v>2.4500000000000001E-2</v>
      </c>
      <c r="G24" s="9">
        <f>(1698400-Tabla1354[[#This Row],[PA_Acumulada]])</f>
        <v>1627816.94</v>
      </c>
    </row>
    <row r="25" spans="1:7" x14ac:dyDescent="0.2">
      <c r="A25" s="8" t="s">
        <v>23</v>
      </c>
      <c r="B25" s="1">
        <v>108920</v>
      </c>
      <c r="C25" s="2">
        <f t="shared" si="0"/>
        <v>45744</v>
      </c>
      <c r="D25" s="1">
        <v>3</v>
      </c>
      <c r="E25" s="3">
        <v>67788.33</v>
      </c>
      <c r="F25" s="4">
        <v>3.9899999999999998E-2</v>
      </c>
      <c r="G25" s="9">
        <f>(1698400-Tabla1354[[#This Row],[PA_Acumulada]])</f>
        <v>1630611.67</v>
      </c>
    </row>
    <row r="26" spans="1:7" x14ac:dyDescent="0.2">
      <c r="A26" s="8" t="s">
        <v>24</v>
      </c>
      <c r="B26" s="1">
        <v>63441</v>
      </c>
      <c r="C26" s="2">
        <f t="shared" si="0"/>
        <v>45744</v>
      </c>
      <c r="D26" s="1">
        <v>3</v>
      </c>
      <c r="E26" s="3">
        <v>64355.32</v>
      </c>
      <c r="F26" s="4">
        <v>2.4199999999999999E-2</v>
      </c>
      <c r="G26" s="9">
        <f>(1698400-Tabla1354[[#This Row],[PA_Acumulada]])</f>
        <v>1634044.68</v>
      </c>
    </row>
    <row r="27" spans="1:7" x14ac:dyDescent="0.2">
      <c r="A27" s="8" t="s">
        <v>25</v>
      </c>
      <c r="B27" s="1">
        <v>88234</v>
      </c>
      <c r="C27" s="2">
        <f t="shared" si="0"/>
        <v>45744</v>
      </c>
      <c r="D27" s="1">
        <v>3</v>
      </c>
      <c r="E27" s="3">
        <v>56304.92</v>
      </c>
      <c r="F27" s="4">
        <v>1.18E-2</v>
      </c>
      <c r="G27" s="9">
        <f>(1698400-Tabla1354[[#This Row],[PA_Acumulada]])</f>
        <v>1642095.08</v>
      </c>
    </row>
    <row r="28" spans="1:7" x14ac:dyDescent="0.2">
      <c r="A28" s="8" t="s">
        <v>26</v>
      </c>
      <c r="B28" s="1">
        <v>110105</v>
      </c>
      <c r="C28" s="2">
        <f t="shared" si="0"/>
        <v>45744</v>
      </c>
      <c r="D28" s="1">
        <v>3</v>
      </c>
      <c r="E28" s="3">
        <v>50596.76</v>
      </c>
      <c r="F28" s="4">
        <v>2.98E-2</v>
      </c>
      <c r="G28" s="9">
        <f>(1698400-Tabla1354[[#This Row],[PA_Acumulada]])</f>
        <v>1647803.24</v>
      </c>
    </row>
    <row r="29" spans="1:7" x14ac:dyDescent="0.2">
      <c r="A29" s="8" t="s">
        <v>27</v>
      </c>
      <c r="B29" s="1">
        <v>81044</v>
      </c>
      <c r="C29" s="2">
        <f t="shared" si="0"/>
        <v>45744</v>
      </c>
      <c r="D29" s="1">
        <v>3</v>
      </c>
      <c r="E29" s="3">
        <v>46516.66</v>
      </c>
      <c r="F29" s="4">
        <v>0</v>
      </c>
      <c r="G29" s="9">
        <f>(1698400-Tabla1354[[#This Row],[PA_Acumulada]])</f>
        <v>1651883.34</v>
      </c>
    </row>
    <row r="30" spans="1:7" x14ac:dyDescent="0.2">
      <c r="A30" s="8" t="s">
        <v>28</v>
      </c>
      <c r="B30" s="1">
        <v>65046</v>
      </c>
      <c r="C30" s="2">
        <f t="shared" si="0"/>
        <v>45744</v>
      </c>
      <c r="D30" s="1">
        <v>3</v>
      </c>
      <c r="E30" s="3">
        <v>29260.48</v>
      </c>
      <c r="F30" s="4">
        <v>1.72E-2</v>
      </c>
      <c r="G30" s="9">
        <f>(1698400-Tabla1354[[#This Row],[PA_Acumulada]])</f>
        <v>1669139.52</v>
      </c>
    </row>
    <row r="31" spans="1:7" x14ac:dyDescent="0.2">
      <c r="A31" s="8" t="s">
        <v>29</v>
      </c>
      <c r="B31" s="1">
        <v>109998</v>
      </c>
      <c r="C31" s="2">
        <f t="shared" si="0"/>
        <v>45744</v>
      </c>
      <c r="D31" s="1">
        <v>3</v>
      </c>
      <c r="E31" s="3">
        <v>25878.880000000001</v>
      </c>
      <c r="F31" s="4">
        <v>1.2999999999999999E-2</v>
      </c>
      <c r="G31" s="9">
        <f>(1698400-Tabla1354[[#This Row],[PA_Acumulada]])</f>
        <v>1672521.12</v>
      </c>
    </row>
    <row r="32" spans="1:7" x14ac:dyDescent="0.2">
      <c r="A32" s="8" t="s">
        <v>30</v>
      </c>
      <c r="B32" s="1">
        <v>94156</v>
      </c>
      <c r="C32" s="2">
        <f t="shared" si="0"/>
        <v>45744</v>
      </c>
      <c r="D32" s="1">
        <v>3</v>
      </c>
      <c r="E32" s="3">
        <v>23520.68</v>
      </c>
      <c r="F32" s="4">
        <v>1E-3</v>
      </c>
      <c r="G32" s="9">
        <f>(1698400-Tabla1354[[#This Row],[PA_Acumulada]])</f>
        <v>1674879.32</v>
      </c>
    </row>
    <row r="33" spans="1:7" x14ac:dyDescent="0.2">
      <c r="A33" s="8" t="s">
        <v>31</v>
      </c>
      <c r="B33" s="1">
        <v>110575</v>
      </c>
      <c r="C33" s="2">
        <f t="shared" si="0"/>
        <v>45744</v>
      </c>
      <c r="D33" s="1">
        <v>3</v>
      </c>
      <c r="E33" s="3">
        <v>21496.68</v>
      </c>
      <c r="F33" s="4">
        <v>1.2699999999999999E-2</v>
      </c>
      <c r="G33" s="9">
        <f>(1698400-Tabla1354[[#This Row],[PA_Acumulada]])</f>
        <v>1676903.32</v>
      </c>
    </row>
    <row r="34" spans="1:7" x14ac:dyDescent="0.2">
      <c r="A34" s="8" t="s">
        <v>32</v>
      </c>
      <c r="B34" s="1">
        <v>64502</v>
      </c>
      <c r="C34" s="2">
        <f t="shared" si="0"/>
        <v>45744</v>
      </c>
      <c r="D34" s="1">
        <v>3</v>
      </c>
      <c r="E34" s="3">
        <v>1885.76</v>
      </c>
      <c r="F34" s="4">
        <v>1.1000000000000001E-3</v>
      </c>
      <c r="G34" s="9">
        <f>(1698400-Tabla1354[[#This Row],[PA_Acumulada]])</f>
        <v>1696514.24</v>
      </c>
    </row>
    <row r="35" spans="1:7" x14ac:dyDescent="0.2">
      <c r="A35" s="8" t="s">
        <v>33</v>
      </c>
      <c r="B35" s="1">
        <v>69684</v>
      </c>
      <c r="C35" s="2">
        <f t="shared" si="0"/>
        <v>45744</v>
      </c>
      <c r="D35" s="1">
        <v>3</v>
      </c>
      <c r="E35" s="3">
        <v>1104.3699999999999</v>
      </c>
      <c r="F35" s="4">
        <v>6.9999999999999999E-4</v>
      </c>
      <c r="G35" s="9">
        <f>(1698400-Tabla1354[[#This Row],[PA_Acumulada]])</f>
        <v>1697295.63</v>
      </c>
    </row>
    <row r="36" spans="1:7" x14ac:dyDescent="0.2">
      <c r="A36" s="8" t="s">
        <v>34</v>
      </c>
      <c r="B36" s="1">
        <v>102825</v>
      </c>
      <c r="C36" s="2">
        <f t="shared" si="0"/>
        <v>45744</v>
      </c>
      <c r="D36" s="1">
        <v>3</v>
      </c>
      <c r="E36" s="3">
        <v>438.83</v>
      </c>
      <c r="F36" s="4">
        <v>2.9999999999999997E-4</v>
      </c>
      <c r="G36" s="9">
        <f>(1698400-Tabla1354[[#This Row],[PA_Acumulada]])</f>
        <v>1697961.17</v>
      </c>
    </row>
    <row r="37" spans="1:7" x14ac:dyDescent="0.2">
      <c r="A37" s="8" t="s">
        <v>35</v>
      </c>
      <c r="B37" s="1">
        <v>98797</v>
      </c>
      <c r="C37" s="2">
        <f t="shared" si="0"/>
        <v>45744</v>
      </c>
      <c r="D37" s="1">
        <v>3</v>
      </c>
      <c r="E37" s="3">
        <v>394.38</v>
      </c>
      <c r="F37" s="4">
        <v>2.0000000000000001E-4</v>
      </c>
      <c r="G37" s="9">
        <f>(1698400-Tabla1354[[#This Row],[PA_Acumulada]])</f>
        <v>1698005.62</v>
      </c>
    </row>
    <row r="38" spans="1:7" x14ac:dyDescent="0.2">
      <c r="A38" s="8" t="s">
        <v>36</v>
      </c>
      <c r="B38" s="1">
        <v>107660</v>
      </c>
      <c r="C38" s="2">
        <f t="shared" si="0"/>
        <v>45744</v>
      </c>
      <c r="D38" s="1">
        <v>3</v>
      </c>
      <c r="E38" s="5">
        <v>0</v>
      </c>
      <c r="F38" s="4">
        <v>0</v>
      </c>
      <c r="G38" s="9">
        <f>(1698400-Tabla1354[[#This Row],[PA_Acumulada]])</f>
        <v>1698400</v>
      </c>
    </row>
    <row r="39" spans="1:7" x14ac:dyDescent="0.2">
      <c r="A39" s="8" t="s">
        <v>37</v>
      </c>
      <c r="B39" s="1">
        <v>103982</v>
      </c>
      <c r="C39" s="2">
        <f t="shared" si="0"/>
        <v>45744</v>
      </c>
      <c r="D39" s="1">
        <v>3</v>
      </c>
      <c r="E39" s="5">
        <v>0</v>
      </c>
      <c r="F39" s="4">
        <v>0</v>
      </c>
      <c r="G39" s="9">
        <f>(1698400-Tabla1354[[#This Row],[PA_Acumulada]])</f>
        <v>1698400</v>
      </c>
    </row>
    <row r="40" spans="1:7" x14ac:dyDescent="0.2">
      <c r="A40" s="8" t="s">
        <v>38</v>
      </c>
      <c r="B40" s="1">
        <v>81618</v>
      </c>
      <c r="C40" s="2">
        <f t="shared" si="0"/>
        <v>45744</v>
      </c>
      <c r="D40" s="1">
        <v>3</v>
      </c>
      <c r="E40" s="5">
        <v>0</v>
      </c>
      <c r="F40" s="4">
        <v>0</v>
      </c>
      <c r="G40" s="9">
        <f>(1698400-Tabla1354[[#This Row],[PA_Acumulada]])</f>
        <v>1698400</v>
      </c>
    </row>
    <row r="41" spans="1:7" x14ac:dyDescent="0.2">
      <c r="A41" s="8" t="s">
        <v>39</v>
      </c>
      <c r="B41" s="1">
        <v>59120</v>
      </c>
      <c r="C41" s="2">
        <f t="shared" si="0"/>
        <v>45744</v>
      </c>
      <c r="D41" s="1">
        <v>3</v>
      </c>
      <c r="E41" s="5">
        <v>0</v>
      </c>
      <c r="F41" s="4">
        <v>0</v>
      </c>
      <c r="G41" s="9">
        <f>(1698400-Tabla1354[[#This Row],[PA_Acumulada]])</f>
        <v>1698400</v>
      </c>
    </row>
    <row r="42" spans="1:7" x14ac:dyDescent="0.2">
      <c r="A42" s="8" t="s">
        <v>40</v>
      </c>
      <c r="B42" s="1">
        <v>90177</v>
      </c>
      <c r="C42" s="2">
        <f t="shared" si="0"/>
        <v>45744</v>
      </c>
      <c r="D42" s="1">
        <v>3</v>
      </c>
      <c r="E42" s="3">
        <v>-16266.31</v>
      </c>
      <c r="F42" s="4">
        <v>0</v>
      </c>
      <c r="G42" s="9">
        <f>(1698400-Tabla1354[[#This Row],[PA_Acumulada]])</f>
        <v>1714666.31</v>
      </c>
    </row>
    <row r="43" spans="1:7" x14ac:dyDescent="0.2">
      <c r="A43" s="10" t="s">
        <v>48</v>
      </c>
      <c r="B43" s="11"/>
      <c r="C43" s="2">
        <f t="shared" si="0"/>
        <v>45744</v>
      </c>
      <c r="D43" s="12"/>
      <c r="E43" s="13"/>
      <c r="F43" s="14"/>
      <c r="G43" s="15">
        <f>(1698400-Tabla1354[[#This Row],[PA_Acumulada]])</f>
        <v>1698400</v>
      </c>
    </row>
  </sheetData>
  <conditionalFormatting sqref="A2:A43">
    <cfRule type="expression" dxfId="4" priority="5" stopIfTrue="1">
      <formula>#REF!&lt;&gt;""</formula>
    </cfRule>
  </conditionalFormatting>
  <conditionalFormatting sqref="B2:D43">
    <cfRule type="expression" dxfId="3" priority="4" stopIfTrue="1">
      <formula>#REF!&lt;&gt;""</formula>
    </cfRule>
  </conditionalFormatting>
  <conditionalFormatting sqref="E2:E43">
    <cfRule type="expression" dxfId="2" priority="2" stopIfTrue="1">
      <formula>#REF!&lt;&gt;""</formula>
    </cfRule>
    <cfRule type="expression" dxfId="1" priority="3" stopIfTrue="1">
      <formula>#REF!&lt;&gt;""</formula>
    </cfRule>
  </conditionalFormatting>
  <conditionalFormatting sqref="F2:F43">
    <cfRule type="expression" dxfId="0" priority="1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2026-01-05T15:53:41Z</dcterms:modified>
</cp:coreProperties>
</file>